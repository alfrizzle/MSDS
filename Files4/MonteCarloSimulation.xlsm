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 Backups\Toshiba Back - 411 - May 2017\460\Unit4\"/>
    </mc:Choice>
  </mc:AlternateContent>
  <bookViews>
    <workbookView xWindow="0" yWindow="0" windowWidth="28800" windowHeight="12990"/>
  </bookViews>
  <sheets>
    <sheet name="Explanation" sheetId="10" r:id="rId1"/>
    <sheet name="Main" sheetId="9" r:id="rId2"/>
    <sheet name="Simulation" sheetId="5" r:id="rId3"/>
    <sheet name="Results" sheetId="7" r:id="rId4"/>
  </sheets>
  <definedNames>
    <definedName name="BaseStock">Simulation!$C$4</definedName>
    <definedName name="ClearResults">Main!$B$6:$D$205</definedName>
    <definedName name="DemandMax">Simulation!$C$3</definedName>
    <definedName name="DemandMin">Simulation!$C$2</definedName>
    <definedName name="HiddenCell">Explanation!$C$3</definedName>
    <definedName name="NoStockoutProbability">Main!$C$3</definedName>
    <definedName name="repNum">Main!$G$7</definedName>
    <definedName name="repResultsFillRate">Simulation!$Q$7</definedName>
    <definedName name="repResultsInventory">Simulation!$O$7</definedName>
    <definedName name="repResultsNoStockout">Simulation!$P$7</definedName>
    <definedName name="SimulationResultsFillRate">Main!$D$6:$D$205</definedName>
    <definedName name="SimulationResultsInventory">Main!$B$6:$B$205</definedName>
    <definedName name="SimulationResultsNoStockout">Main!$C$6:$C$205</definedName>
    <definedName name="StartData">Main!$B$5</definedName>
  </definedNames>
  <calcPr calcId="162913"/>
</workbook>
</file>

<file path=xl/calcChain.xml><?xml version="1.0" encoding="utf-8"?>
<calcChain xmlns="http://schemas.openxmlformats.org/spreadsheetml/2006/main">
  <c r="G4" i="9" l="1"/>
  <c r="O4" i="7" l="1"/>
  <c r="P54" i="7" s="1"/>
  <c r="N4" i="7"/>
  <c r="P4" i="7" s="1"/>
  <c r="I4" i="7"/>
  <c r="J54" i="7" s="1"/>
  <c r="H4" i="7"/>
  <c r="J4" i="7" s="1"/>
  <c r="P5" i="7" l="1"/>
  <c r="P6" i="7" s="1"/>
  <c r="P7" i="7" s="1"/>
  <c r="P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P19" i="7" s="1"/>
  <c r="P20" i="7" s="1"/>
  <c r="P21" i="7" s="1"/>
  <c r="P22" i="7" s="1"/>
  <c r="P23" i="7" s="1"/>
  <c r="P24" i="7" s="1"/>
  <c r="P25" i="7" s="1"/>
  <c r="P26" i="7" s="1"/>
  <c r="P27" i="7" s="1"/>
  <c r="P28" i="7" s="1"/>
  <c r="P29" i="7" s="1"/>
  <c r="P30" i="7" s="1"/>
  <c r="P31" i="7" s="1"/>
  <c r="P32" i="7" s="1"/>
  <c r="P33" i="7" s="1"/>
  <c r="P34" i="7" s="1"/>
  <c r="P35" i="7" s="1"/>
  <c r="P36" i="7" s="1"/>
  <c r="P37" i="7" s="1"/>
  <c r="P38" i="7" s="1"/>
  <c r="P39" i="7" s="1"/>
  <c r="P40" i="7" s="1"/>
  <c r="P41" i="7" s="1"/>
  <c r="P42" i="7" s="1"/>
  <c r="P43" i="7" s="1"/>
  <c r="P44" i="7" s="1"/>
  <c r="P45" i="7" s="1"/>
  <c r="P46" i="7" s="1"/>
  <c r="P47" i="7" s="1"/>
  <c r="P48" i="7" s="1"/>
  <c r="P49" i="7" s="1"/>
  <c r="P50" i="7" s="1"/>
  <c r="P51" i="7" s="1"/>
  <c r="P52" i="7" s="1"/>
  <c r="P53" i="7" s="1"/>
  <c r="J5" i="7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J18" i="7" s="1"/>
  <c r="J19" i="7" s="1"/>
  <c r="J20" i="7" s="1"/>
  <c r="J21" i="7" s="1"/>
  <c r="J22" i="7" s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J35" i="7" s="1"/>
  <c r="J36" i="7" s="1"/>
  <c r="J37" i="7" s="1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J50" i="7" s="1"/>
  <c r="J51" i="7" s="1"/>
  <c r="J52" i="7" s="1"/>
  <c r="J53" i="7" s="1"/>
  <c r="C4" i="7"/>
  <c r="D54" i="7" s="1"/>
  <c r="B4" i="7"/>
  <c r="D4" i="7" s="1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8" i="5"/>
  <c r="F8" i="5"/>
  <c r="Q4" i="7" l="1" a="1"/>
  <c r="K4" i="7" a="1"/>
  <c r="D5" i="7"/>
  <c r="D6" i="7" s="1"/>
  <c r="D7" i="7" s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Q4" i="7" l="1"/>
  <c r="R4" i="7" s="1"/>
  <c r="Q42" i="7"/>
  <c r="Q25" i="7"/>
  <c r="Q8" i="7"/>
  <c r="Q46" i="7"/>
  <c r="Q37" i="7"/>
  <c r="Q28" i="7"/>
  <c r="Q48" i="7"/>
  <c r="Q40" i="7"/>
  <c r="Q32" i="7"/>
  <c r="Q41" i="7"/>
  <c r="Q44" i="7"/>
  <c r="Q51" i="7"/>
  <c r="Q34" i="7"/>
  <c r="Q17" i="7"/>
  <c r="Q47" i="7"/>
  <c r="Q38" i="7"/>
  <c r="Q29" i="7"/>
  <c r="Q20" i="7"/>
  <c r="Q35" i="7"/>
  <c r="Q13" i="7"/>
  <c r="Q10" i="7"/>
  <c r="Q14" i="7"/>
  <c r="Q15" i="7"/>
  <c r="Q11" i="7"/>
  <c r="Q43" i="7"/>
  <c r="Q26" i="7"/>
  <c r="Q9" i="7"/>
  <c r="Q39" i="7"/>
  <c r="Q30" i="7"/>
  <c r="Q21" i="7"/>
  <c r="Q12" i="7"/>
  <c r="Q18" i="7"/>
  <c r="Q22" i="7"/>
  <c r="Q19" i="7"/>
  <c r="Q6" i="7"/>
  <c r="Q7" i="7"/>
  <c r="Q53" i="7"/>
  <c r="Q50" i="7"/>
  <c r="Q33" i="7"/>
  <c r="Q16" i="7"/>
  <c r="Q54" i="7"/>
  <c r="Q45" i="7"/>
  <c r="Q36" i="7"/>
  <c r="Q31" i="7"/>
  <c r="Q27" i="7"/>
  <c r="Q23" i="7"/>
  <c r="Q5" i="7"/>
  <c r="Q49" i="7"/>
  <c r="Q52" i="7"/>
  <c r="Q24" i="7"/>
  <c r="K6" i="7"/>
  <c r="K13" i="7"/>
  <c r="K4" i="7"/>
  <c r="L4" i="7" s="1"/>
  <c r="K42" i="7"/>
  <c r="K25" i="7"/>
  <c r="K8" i="7"/>
  <c r="K46" i="7"/>
  <c r="K35" i="7"/>
  <c r="K18" i="7"/>
  <c r="K22" i="7"/>
  <c r="K45" i="7"/>
  <c r="K40" i="7"/>
  <c r="K19" i="7"/>
  <c r="K29" i="7"/>
  <c r="K24" i="7"/>
  <c r="K5" i="7"/>
  <c r="K51" i="7"/>
  <c r="K34" i="7"/>
  <c r="K17" i="7"/>
  <c r="K47" i="7"/>
  <c r="K38" i="7"/>
  <c r="K53" i="7"/>
  <c r="K31" i="7"/>
  <c r="K27" i="7"/>
  <c r="K23" i="7"/>
  <c r="K49" i="7"/>
  <c r="K20" i="7"/>
  <c r="K52" i="7"/>
  <c r="K43" i="7"/>
  <c r="K26" i="7"/>
  <c r="K9" i="7"/>
  <c r="K39" i="7"/>
  <c r="K30" i="7"/>
  <c r="K44" i="7"/>
  <c r="K48" i="7"/>
  <c r="K10" i="7"/>
  <c r="K37" i="7"/>
  <c r="K32" i="7"/>
  <c r="K41" i="7"/>
  <c r="K21" i="7"/>
  <c r="K12" i="7"/>
  <c r="K50" i="7"/>
  <c r="K33" i="7"/>
  <c r="K16" i="7"/>
  <c r="K54" i="7"/>
  <c r="K36" i="7"/>
  <c r="K14" i="7"/>
  <c r="K28" i="7"/>
  <c r="K15" i="7"/>
  <c r="K11" i="7"/>
  <c r="K7" i="7"/>
  <c r="E4" i="7" a="1"/>
  <c r="C4" i="5"/>
  <c r="R5" i="7" l="1"/>
  <c r="R6" i="7" s="1"/>
  <c r="R7" i="7" s="1"/>
  <c r="R8" i="7" s="1"/>
  <c r="R9" i="7" s="1"/>
  <c r="R10" i="7" s="1"/>
  <c r="R11" i="7" s="1"/>
  <c r="R12" i="7" s="1"/>
  <c r="R13" i="7" s="1"/>
  <c r="R14" i="7" s="1"/>
  <c r="R15" i="7" s="1"/>
  <c r="R16" i="7" s="1"/>
  <c r="R17" i="7" s="1"/>
  <c r="R18" i="7" s="1"/>
  <c r="R19" i="7" s="1"/>
  <c r="R20" i="7" s="1"/>
  <c r="R21" i="7" s="1"/>
  <c r="R22" i="7" s="1"/>
  <c r="R23" i="7" s="1"/>
  <c r="R24" i="7" s="1"/>
  <c r="R25" i="7" s="1"/>
  <c r="R26" i="7" s="1"/>
  <c r="R27" i="7" s="1"/>
  <c r="R28" i="7" s="1"/>
  <c r="R29" i="7" s="1"/>
  <c r="R30" i="7" s="1"/>
  <c r="R31" i="7" s="1"/>
  <c r="R32" i="7" s="1"/>
  <c r="R33" i="7" s="1"/>
  <c r="R34" i="7" s="1"/>
  <c r="R35" i="7" s="1"/>
  <c r="R36" i="7" s="1"/>
  <c r="R37" i="7" s="1"/>
  <c r="R38" i="7" s="1"/>
  <c r="R39" i="7" s="1"/>
  <c r="R40" i="7" s="1"/>
  <c r="R41" i="7" s="1"/>
  <c r="R42" i="7" s="1"/>
  <c r="R43" i="7" s="1"/>
  <c r="R44" i="7" s="1"/>
  <c r="R45" i="7" s="1"/>
  <c r="R46" i="7" s="1"/>
  <c r="R47" i="7" s="1"/>
  <c r="R48" i="7" s="1"/>
  <c r="R49" i="7" s="1"/>
  <c r="R50" i="7" s="1"/>
  <c r="R51" i="7" s="1"/>
  <c r="R52" i="7" s="1"/>
  <c r="R53" i="7" s="1"/>
  <c r="R54" i="7" s="1"/>
  <c r="L5" i="7"/>
  <c r="L6" i="7" s="1"/>
  <c r="L7" i="7" s="1"/>
  <c r="L8" i="7" s="1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50" i="7" s="1"/>
  <c r="L51" i="7" s="1"/>
  <c r="L52" i="7" s="1"/>
  <c r="L53" i="7" s="1"/>
  <c r="L54" i="7" s="1"/>
  <c r="E51" i="7"/>
  <c r="E43" i="7"/>
  <c r="E35" i="7"/>
  <c r="E27" i="7"/>
  <c r="E19" i="7"/>
  <c r="E11" i="7"/>
  <c r="E50" i="7"/>
  <c r="E42" i="7"/>
  <c r="E34" i="7"/>
  <c r="E26" i="7"/>
  <c r="E18" i="7"/>
  <c r="E10" i="7"/>
  <c r="E49" i="7"/>
  <c r="E41" i="7"/>
  <c r="E33" i="7"/>
  <c r="E25" i="7"/>
  <c r="E17" i="7"/>
  <c r="E9" i="7"/>
  <c r="E48" i="7"/>
  <c r="E40" i="7"/>
  <c r="E32" i="7"/>
  <c r="E24" i="7"/>
  <c r="E16" i="7"/>
  <c r="E8" i="7"/>
  <c r="E47" i="7"/>
  <c r="E39" i="7"/>
  <c r="E31" i="7"/>
  <c r="E23" i="7"/>
  <c r="E15" i="7"/>
  <c r="E7" i="7"/>
  <c r="E45" i="7"/>
  <c r="E13" i="7"/>
  <c r="E52" i="7"/>
  <c r="E36" i="7"/>
  <c r="E20" i="7"/>
  <c r="E4" i="7"/>
  <c r="F4" i="7" s="1"/>
  <c r="E54" i="7"/>
  <c r="E46" i="7"/>
  <c r="E38" i="7"/>
  <c r="E30" i="7"/>
  <c r="E22" i="7"/>
  <c r="E14" i="7"/>
  <c r="E6" i="7"/>
  <c r="E53" i="7"/>
  <c r="E37" i="7"/>
  <c r="E29" i="7"/>
  <c r="E21" i="7"/>
  <c r="E5" i="7"/>
  <c r="E44" i="7"/>
  <c r="E28" i="7"/>
  <c r="E12" i="7"/>
  <c r="F5" i="7" l="1"/>
  <c r="F6" i="7" s="1"/>
  <c r="F7" i="7" s="1"/>
  <c r="F8" i="7" s="1"/>
  <c r="F9" i="7" s="1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F31" i="7" s="1"/>
  <c r="F32" i="7" s="1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F54" i="7" s="1"/>
  <c r="J7" i="5"/>
  <c r="L7" i="5" l="1"/>
  <c r="D8" i="5" s="1"/>
  <c r="C8" i="5"/>
  <c r="E8" i="5" l="1"/>
  <c r="H8" i="5" l="1"/>
  <c r="I8" i="5"/>
  <c r="M8" i="5" s="1"/>
  <c r="J8" i="5" l="1"/>
  <c r="K8" i="5"/>
  <c r="F9" i="5" s="1"/>
  <c r="C9" i="5" l="1"/>
  <c r="L8" i="5"/>
  <c r="D9" i="5" s="1"/>
  <c r="E9" i="5" l="1"/>
  <c r="H9" i="5" l="1"/>
  <c r="I9" i="5" s="1"/>
  <c r="M9" i="5" l="1"/>
  <c r="J9" i="5"/>
  <c r="K9" i="5"/>
  <c r="F10" i="5" s="1"/>
  <c r="C10" i="5" l="1"/>
  <c r="L9" i="5"/>
  <c r="D10" i="5" s="1"/>
  <c r="E10" i="5" l="1"/>
  <c r="H10" i="5" l="1"/>
  <c r="I10" i="5" s="1"/>
  <c r="M10" i="5" s="1"/>
  <c r="J10" i="5" l="1"/>
  <c r="K10" i="5"/>
  <c r="F11" i="5" s="1"/>
  <c r="L10" i="5" l="1"/>
  <c r="D11" i="5" s="1"/>
  <c r="C11" i="5"/>
  <c r="E11" i="5" l="1"/>
  <c r="H11" i="5" l="1"/>
  <c r="I11" i="5" l="1"/>
  <c r="M11" i="5" s="1"/>
  <c r="K11" i="5" l="1"/>
  <c r="F12" i="5" s="1"/>
  <c r="J11" i="5"/>
  <c r="L11" i="5" l="1"/>
  <c r="D12" i="5" s="1"/>
  <c r="C12" i="5"/>
  <c r="E12" i="5" l="1"/>
  <c r="H12" i="5" s="1"/>
  <c r="I12" i="5" l="1"/>
  <c r="M12" i="5" s="1"/>
  <c r="K12" i="5" l="1"/>
  <c r="F13" i="5" s="1"/>
  <c r="J12" i="5"/>
  <c r="L12" i="5" l="1"/>
  <c r="D13" i="5" s="1"/>
  <c r="C13" i="5"/>
  <c r="E13" i="5" l="1"/>
  <c r="H13" i="5" s="1"/>
  <c r="I13" i="5" s="1"/>
  <c r="M13" i="5" s="1"/>
  <c r="J13" i="5" l="1"/>
  <c r="C14" i="5" s="1"/>
  <c r="K13" i="5"/>
  <c r="F14" i="5" s="1"/>
  <c r="L13" i="5" l="1"/>
  <c r="D14" i="5" s="1"/>
  <c r="E14" i="5" s="1"/>
  <c r="H14" i="5" s="1"/>
  <c r="I14" i="5" s="1"/>
  <c r="M14" i="5" s="1"/>
  <c r="K14" i="5" l="1"/>
  <c r="F15" i="5" s="1"/>
  <c r="J14" i="5"/>
  <c r="C15" i="5" s="1"/>
  <c r="L14" i="5" l="1"/>
  <c r="D15" i="5" s="1"/>
  <c r="E15" i="5" s="1"/>
  <c r="H15" i="5" s="1"/>
  <c r="I15" i="5" l="1"/>
  <c r="M15" i="5" s="1"/>
  <c r="K15" i="5" l="1"/>
  <c r="F16" i="5" s="1"/>
  <c r="J15" i="5"/>
  <c r="C16" i="5" l="1"/>
  <c r="L15" i="5"/>
  <c r="D16" i="5" s="1"/>
  <c r="E16" i="5" l="1"/>
  <c r="H16" i="5" s="1"/>
  <c r="I16" i="5" s="1"/>
  <c r="J16" i="5" l="1"/>
  <c r="M16" i="5"/>
  <c r="K16" i="5"/>
  <c r="F17" i="5" s="1"/>
  <c r="C17" i="5" l="1"/>
  <c r="L16" i="5"/>
  <c r="D17" i="5" s="1"/>
  <c r="E17" i="5" l="1"/>
  <c r="H17" i="5" s="1"/>
  <c r="I17" i="5" l="1"/>
  <c r="M17" i="5" s="1"/>
  <c r="K17" i="5" l="1"/>
  <c r="F18" i="5" s="1"/>
  <c r="J17" i="5"/>
  <c r="C18" i="5" s="1"/>
  <c r="L17" i="5" l="1"/>
  <c r="D18" i="5" s="1"/>
  <c r="E18" i="5" s="1"/>
  <c r="H18" i="5" s="1"/>
  <c r="I18" i="5" l="1"/>
  <c r="M18" i="5" s="1"/>
  <c r="J18" i="5" l="1"/>
  <c r="K18" i="5"/>
  <c r="F19" i="5" s="1"/>
  <c r="C19" i="5" l="1"/>
  <c r="L18" i="5"/>
  <c r="D19" i="5" s="1"/>
  <c r="E19" i="5" l="1"/>
  <c r="H19" i="5" s="1"/>
  <c r="I19" i="5" l="1"/>
  <c r="K19" i="5" l="1"/>
  <c r="F20" i="5" s="1"/>
  <c r="M19" i="5"/>
  <c r="J19" i="5"/>
  <c r="C20" i="5" l="1"/>
  <c r="L19" i="5"/>
  <c r="D20" i="5" s="1"/>
  <c r="E20" i="5" l="1"/>
  <c r="H20" i="5" s="1"/>
  <c r="I20" i="5" s="1"/>
  <c r="M20" i="5" s="1"/>
  <c r="J20" i="5" l="1"/>
  <c r="K20" i="5"/>
  <c r="F21" i="5" s="1"/>
  <c r="C21" i="5" l="1"/>
  <c r="L20" i="5"/>
  <c r="D21" i="5" s="1"/>
  <c r="E21" i="5" l="1"/>
  <c r="H21" i="5" s="1"/>
  <c r="I21" i="5" s="1"/>
  <c r="M21" i="5" s="1"/>
  <c r="K21" i="5" l="1"/>
  <c r="F22" i="5" s="1"/>
  <c r="J21" i="5"/>
  <c r="C22" i="5" s="1"/>
  <c r="L21" i="5" l="1"/>
  <c r="D22" i="5" s="1"/>
  <c r="E22" i="5" s="1"/>
  <c r="H22" i="5" s="1"/>
  <c r="I22" i="5" l="1"/>
  <c r="J22" i="5" s="1"/>
  <c r="C23" i="5" s="1"/>
  <c r="M22" i="5" l="1"/>
  <c r="K22" i="5"/>
  <c r="F23" i="5" s="1"/>
  <c r="L22" i="5" l="1"/>
  <c r="D23" i="5" s="1"/>
  <c r="E23" i="5" s="1"/>
  <c r="H23" i="5" s="1"/>
  <c r="I23" i="5" l="1"/>
  <c r="M23" i="5" s="1"/>
  <c r="K23" i="5" l="1"/>
  <c r="F24" i="5" s="1"/>
  <c r="J23" i="5"/>
  <c r="C24" i="5" s="1"/>
  <c r="L23" i="5" l="1"/>
  <c r="D24" i="5" s="1"/>
  <c r="E24" i="5" s="1"/>
  <c r="H24" i="5" s="1"/>
  <c r="I24" i="5" l="1"/>
  <c r="M24" i="5" s="1"/>
  <c r="J24" i="5" l="1"/>
  <c r="C25" i="5" s="1"/>
  <c r="K24" i="5"/>
  <c r="F25" i="5" s="1"/>
  <c r="L24" i="5" l="1"/>
  <c r="D25" i="5" s="1"/>
  <c r="E25" i="5" s="1"/>
  <c r="H25" i="5" l="1"/>
  <c r="I25" i="5" l="1"/>
  <c r="M25" i="5" s="1"/>
  <c r="J25" i="5" l="1"/>
  <c r="C26" i="5" s="1"/>
  <c r="K25" i="5"/>
  <c r="F26" i="5" s="1"/>
  <c r="L25" i="5" l="1"/>
  <c r="D26" i="5" s="1"/>
  <c r="E26" i="5" s="1"/>
  <c r="H26" i="5" l="1"/>
  <c r="I26" i="5" l="1"/>
  <c r="M26" i="5" s="1"/>
  <c r="K26" i="5" l="1"/>
  <c r="F27" i="5" s="1"/>
  <c r="J26" i="5"/>
  <c r="C27" i="5" s="1"/>
  <c r="L26" i="5" l="1"/>
  <c r="D27" i="5" s="1"/>
  <c r="E27" i="5" s="1"/>
  <c r="H27" i="5" l="1"/>
  <c r="I27" i="5" s="1"/>
  <c r="M27" i="5" s="1"/>
  <c r="K27" i="5" l="1"/>
  <c r="F28" i="5" s="1"/>
  <c r="J27" i="5"/>
  <c r="C28" i="5" s="1"/>
  <c r="L27" i="5" l="1"/>
  <c r="D28" i="5" s="1"/>
  <c r="E28" i="5" s="1"/>
  <c r="H28" i="5" s="1"/>
  <c r="I28" i="5" l="1"/>
  <c r="M28" i="5" s="1"/>
  <c r="J28" i="5" l="1"/>
  <c r="C29" i="5" s="1"/>
  <c r="K28" i="5"/>
  <c r="F29" i="5" s="1"/>
  <c r="L28" i="5" l="1"/>
  <c r="D29" i="5" s="1"/>
  <c r="E29" i="5" s="1"/>
  <c r="H29" i="5" s="1"/>
  <c r="I29" i="5" l="1"/>
  <c r="K29" i="5" l="1"/>
  <c r="F30" i="5" s="1"/>
  <c r="M29" i="5"/>
  <c r="J29" i="5"/>
  <c r="C30" i="5" s="1"/>
  <c r="L29" i="5" l="1"/>
  <c r="D30" i="5" s="1"/>
  <c r="E30" i="5" s="1"/>
  <c r="H30" i="5" s="1"/>
  <c r="I30" i="5" l="1"/>
  <c r="J30" i="5" s="1"/>
  <c r="C31" i="5" s="1"/>
  <c r="M30" i="5" l="1"/>
  <c r="K30" i="5"/>
  <c r="F31" i="5" s="1"/>
  <c r="L30" i="5" l="1"/>
  <c r="D31" i="5" s="1"/>
  <c r="E31" i="5" s="1"/>
  <c r="H31" i="5" l="1"/>
  <c r="I31" i="5" l="1"/>
  <c r="M31" i="5" s="1"/>
  <c r="K31" i="5" l="1"/>
  <c r="F32" i="5" s="1"/>
  <c r="J31" i="5"/>
  <c r="C32" i="5" s="1"/>
  <c r="L31" i="5" l="1"/>
  <c r="D32" i="5" s="1"/>
  <c r="E32" i="5" s="1"/>
  <c r="H32" i="5" s="1"/>
  <c r="I32" i="5" l="1"/>
  <c r="M32" i="5" s="1"/>
  <c r="J32" i="5" l="1"/>
  <c r="C33" i="5" s="1"/>
  <c r="K32" i="5"/>
  <c r="F33" i="5" s="1"/>
  <c r="L32" i="5" l="1"/>
  <c r="D33" i="5" s="1"/>
  <c r="E33" i="5" s="1"/>
  <c r="H33" i="5" l="1"/>
  <c r="I33" i="5" l="1"/>
  <c r="M33" i="5" s="1"/>
  <c r="J33" i="5" l="1"/>
  <c r="C34" i="5" s="1"/>
  <c r="K33" i="5"/>
  <c r="F34" i="5" s="1"/>
  <c r="L33" i="5" l="1"/>
  <c r="D34" i="5" s="1"/>
  <c r="E34" i="5" s="1"/>
  <c r="H34" i="5" l="1"/>
  <c r="I34" i="5" l="1"/>
  <c r="M34" i="5" s="1"/>
  <c r="J34" i="5" l="1"/>
  <c r="C35" i="5" s="1"/>
  <c r="K34" i="5"/>
  <c r="F35" i="5" s="1"/>
  <c r="L34" i="5" l="1"/>
  <c r="D35" i="5" s="1"/>
  <c r="E35" i="5" s="1"/>
  <c r="H35" i="5" s="1"/>
  <c r="I35" i="5" l="1"/>
  <c r="J35" i="5" s="1"/>
  <c r="C36" i="5" s="1"/>
  <c r="M35" i="5" l="1"/>
  <c r="K35" i="5"/>
  <c r="L35" i="5" l="1"/>
  <c r="D36" i="5" s="1"/>
  <c r="E36" i="5" s="1"/>
  <c r="F36" i="5"/>
  <c r="H36" i="5" l="1"/>
  <c r="I36" i="5" s="1"/>
  <c r="M36" i="5" s="1"/>
  <c r="J36" i="5" l="1"/>
  <c r="C37" i="5" s="1"/>
  <c r="K36" i="5"/>
  <c r="F37" i="5" s="1"/>
  <c r="L36" i="5" l="1"/>
  <c r="D37" i="5" s="1"/>
  <c r="E37" i="5" s="1"/>
  <c r="H37" i="5" s="1"/>
  <c r="I37" i="5" l="1"/>
  <c r="M37" i="5" s="1"/>
  <c r="J37" i="5" l="1"/>
  <c r="C38" i="5" s="1"/>
  <c r="K37" i="5"/>
  <c r="F38" i="5" s="1"/>
  <c r="L37" i="5" l="1"/>
  <c r="D38" i="5" s="1"/>
  <c r="E38" i="5" s="1"/>
  <c r="H38" i="5" l="1"/>
  <c r="I38" i="5" l="1"/>
  <c r="M38" i="5" s="1"/>
  <c r="K38" i="5" l="1"/>
  <c r="F39" i="5" s="1"/>
  <c r="J38" i="5"/>
  <c r="C39" i="5" s="1"/>
  <c r="L38" i="5" l="1"/>
  <c r="D39" i="5" s="1"/>
  <c r="E39" i="5" s="1"/>
  <c r="H39" i="5" l="1"/>
  <c r="I39" i="5" l="1"/>
  <c r="M39" i="5" s="1"/>
  <c r="J39" i="5" l="1"/>
  <c r="C40" i="5" s="1"/>
  <c r="K39" i="5"/>
  <c r="F40" i="5" s="1"/>
  <c r="L39" i="5" l="1"/>
  <c r="D40" i="5" s="1"/>
  <c r="E40" i="5" s="1"/>
  <c r="H40" i="5" l="1"/>
  <c r="I40" i="5" l="1"/>
  <c r="J40" i="5" l="1"/>
  <c r="C41" i="5" s="1"/>
  <c r="M40" i="5"/>
  <c r="K40" i="5"/>
  <c r="F41" i="5" s="1"/>
  <c r="L40" i="5" l="1"/>
  <c r="D41" i="5" s="1"/>
  <c r="E41" i="5" s="1"/>
  <c r="H41" i="5" l="1"/>
  <c r="I41" i="5" s="1"/>
  <c r="M41" i="5" s="1"/>
  <c r="K41" i="5" l="1"/>
  <c r="F42" i="5" s="1"/>
  <c r="J41" i="5"/>
  <c r="C42" i="5" s="1"/>
  <c r="L41" i="5" l="1"/>
  <c r="D42" i="5" s="1"/>
  <c r="E42" i="5" s="1"/>
  <c r="H42" i="5" l="1"/>
  <c r="I42" i="5" l="1"/>
  <c r="M42" i="5" s="1"/>
  <c r="K42" i="5" l="1"/>
  <c r="F43" i="5" s="1"/>
  <c r="J42" i="5"/>
  <c r="C43" i="5" s="1"/>
  <c r="L42" i="5" l="1"/>
  <c r="D43" i="5" s="1"/>
  <c r="E43" i="5" s="1"/>
  <c r="H43" i="5" l="1"/>
  <c r="I43" i="5" l="1"/>
  <c r="M43" i="5" s="1"/>
  <c r="J43" i="5" l="1"/>
  <c r="C44" i="5" s="1"/>
  <c r="K43" i="5"/>
  <c r="F44" i="5" s="1"/>
  <c r="L43" i="5" l="1"/>
  <c r="D44" i="5" s="1"/>
  <c r="E44" i="5" s="1"/>
  <c r="H44" i="5" s="1"/>
  <c r="I44" i="5" l="1"/>
  <c r="M44" i="5" l="1"/>
  <c r="K44" i="5"/>
  <c r="F45" i="5" s="1"/>
  <c r="J44" i="5"/>
  <c r="C45" i="5" s="1"/>
  <c r="L44" i="5" l="1"/>
  <c r="D45" i="5" s="1"/>
  <c r="E45" i="5" s="1"/>
  <c r="H45" i="5" l="1"/>
  <c r="I45" i="5" l="1"/>
  <c r="M45" i="5" s="1"/>
  <c r="J45" i="5" l="1"/>
  <c r="C46" i="5" s="1"/>
  <c r="K45" i="5"/>
  <c r="F46" i="5" s="1"/>
  <c r="L45" i="5" l="1"/>
  <c r="D46" i="5" s="1"/>
  <c r="E46" i="5" s="1"/>
  <c r="H46" i="5" l="1"/>
  <c r="I46" i="5" l="1"/>
  <c r="M46" i="5" s="1"/>
  <c r="K46" i="5" l="1"/>
  <c r="F47" i="5" s="1"/>
  <c r="J46" i="5"/>
  <c r="C47" i="5" s="1"/>
  <c r="L46" i="5" l="1"/>
  <c r="D47" i="5" s="1"/>
  <c r="E47" i="5" s="1"/>
  <c r="H47" i="5" l="1"/>
  <c r="I47" i="5" l="1"/>
  <c r="M47" i="5" s="1"/>
  <c r="K47" i="5" l="1"/>
  <c r="F48" i="5" s="1"/>
  <c r="J47" i="5"/>
  <c r="C48" i="5" s="1"/>
  <c r="L47" i="5" l="1"/>
  <c r="D48" i="5" s="1"/>
  <c r="E48" i="5" s="1"/>
  <c r="H48" i="5" l="1"/>
  <c r="I48" i="5" s="1"/>
  <c r="M48" i="5" s="1"/>
  <c r="K48" i="5" l="1"/>
  <c r="F49" i="5" s="1"/>
  <c r="J48" i="5"/>
  <c r="C49" i="5" s="1"/>
  <c r="L48" i="5" l="1"/>
  <c r="D49" i="5" s="1"/>
  <c r="E49" i="5" s="1"/>
  <c r="H49" i="5" l="1"/>
  <c r="I49" i="5" l="1"/>
  <c r="M49" i="5" s="1"/>
  <c r="J49" i="5" l="1"/>
  <c r="C50" i="5" s="1"/>
  <c r="K49" i="5"/>
  <c r="F50" i="5" s="1"/>
  <c r="L49" i="5" l="1"/>
  <c r="D50" i="5" s="1"/>
  <c r="E50" i="5" s="1"/>
  <c r="H50" i="5" l="1"/>
  <c r="I50" i="5" s="1"/>
  <c r="M50" i="5" s="1"/>
  <c r="K50" i="5" l="1"/>
  <c r="F51" i="5" s="1"/>
  <c r="J50" i="5"/>
  <c r="C51" i="5" s="1"/>
  <c r="L50" i="5" l="1"/>
  <c r="D51" i="5" s="1"/>
  <c r="E51" i="5" s="1"/>
  <c r="H51" i="5" l="1"/>
  <c r="I51" i="5" l="1"/>
  <c r="M51" i="5" s="1"/>
  <c r="J51" i="5" l="1"/>
  <c r="C52" i="5" s="1"/>
  <c r="K51" i="5"/>
  <c r="F52" i="5" s="1"/>
  <c r="L51" i="5" l="1"/>
  <c r="D52" i="5" s="1"/>
  <c r="E52" i="5" s="1"/>
  <c r="H52" i="5" l="1"/>
  <c r="I52" i="5" s="1"/>
  <c r="M52" i="5" s="1"/>
  <c r="K52" i="5" l="1"/>
  <c r="F53" i="5" s="1"/>
  <c r="J52" i="5"/>
  <c r="C53" i="5" s="1"/>
  <c r="L52" i="5" l="1"/>
  <c r="D53" i="5" s="1"/>
  <c r="E53" i="5" s="1"/>
  <c r="H53" i="5" l="1"/>
  <c r="I53" i="5" l="1"/>
  <c r="M53" i="5" s="1"/>
  <c r="J53" i="5" l="1"/>
  <c r="C54" i="5" s="1"/>
  <c r="K53" i="5"/>
  <c r="F54" i="5" s="1"/>
  <c r="L53" i="5" l="1"/>
  <c r="D54" i="5" s="1"/>
  <c r="E54" i="5" s="1"/>
  <c r="H54" i="5" s="1"/>
  <c r="I54" i="5" l="1"/>
  <c r="J54" i="5" s="1"/>
  <c r="C55" i="5" s="1"/>
  <c r="M54" i="5" l="1"/>
  <c r="K54" i="5"/>
  <c r="F55" i="5" s="1"/>
  <c r="L54" i="5" l="1"/>
  <c r="D55" i="5" s="1"/>
  <c r="E55" i="5" s="1"/>
  <c r="H55" i="5" s="1"/>
  <c r="I55" i="5" l="1"/>
  <c r="M55" i="5" s="1"/>
  <c r="J55" i="5" l="1"/>
  <c r="C56" i="5" s="1"/>
  <c r="K55" i="5"/>
  <c r="F56" i="5" s="1"/>
  <c r="L55" i="5" l="1"/>
  <c r="D56" i="5" s="1"/>
  <c r="E56" i="5" s="1"/>
  <c r="H56" i="5" l="1"/>
  <c r="I56" i="5" l="1"/>
  <c r="M56" i="5" s="1"/>
  <c r="J56" i="5" l="1"/>
  <c r="C57" i="5" s="1"/>
  <c r="K56" i="5"/>
  <c r="F57" i="5" s="1"/>
  <c r="L56" i="5" l="1"/>
  <c r="D57" i="5" s="1"/>
  <c r="E57" i="5" s="1"/>
  <c r="H57" i="5" l="1"/>
  <c r="I57" i="5" s="1"/>
  <c r="M57" i="5" s="1"/>
  <c r="K57" i="5" l="1"/>
  <c r="F58" i="5" s="1"/>
  <c r="J57" i="5"/>
  <c r="C58" i="5" s="1"/>
  <c r="L57" i="5" l="1"/>
  <c r="D58" i="5" s="1"/>
  <c r="E58" i="5" s="1"/>
  <c r="H58" i="5" l="1"/>
  <c r="I58" i="5" s="1"/>
  <c r="M58" i="5" s="1"/>
  <c r="K58" i="5" l="1"/>
  <c r="F59" i="5" s="1"/>
  <c r="J58" i="5"/>
  <c r="C59" i="5" s="1"/>
  <c r="L58" i="5" l="1"/>
  <c r="D59" i="5" s="1"/>
  <c r="E59" i="5" s="1"/>
  <c r="H59" i="5" l="1"/>
  <c r="I59" i="5" l="1"/>
  <c r="M59" i="5" s="1"/>
  <c r="J59" i="5" l="1"/>
  <c r="C60" i="5" s="1"/>
  <c r="K59" i="5"/>
  <c r="F60" i="5" s="1"/>
  <c r="L59" i="5" l="1"/>
  <c r="D60" i="5" s="1"/>
  <c r="E60" i="5" s="1"/>
  <c r="H60" i="5" l="1"/>
  <c r="I60" i="5" l="1"/>
  <c r="M60" i="5" s="1"/>
  <c r="J60" i="5" l="1"/>
  <c r="C61" i="5" s="1"/>
  <c r="K60" i="5"/>
  <c r="F61" i="5" s="1"/>
  <c r="L60" i="5" l="1"/>
  <c r="D61" i="5" s="1"/>
  <c r="E61" i="5" s="1"/>
  <c r="H61" i="5" l="1"/>
  <c r="I61" i="5" l="1"/>
  <c r="M61" i="5" s="1"/>
  <c r="J61" i="5" l="1"/>
  <c r="C62" i="5" s="1"/>
  <c r="K61" i="5"/>
  <c r="F62" i="5" s="1"/>
  <c r="L61" i="5" l="1"/>
  <c r="D62" i="5" s="1"/>
  <c r="E62" i="5" s="1"/>
  <c r="H62" i="5" s="1"/>
  <c r="I62" i="5" l="1"/>
  <c r="M62" i="5" l="1"/>
  <c r="K62" i="5"/>
  <c r="F63" i="5" s="1"/>
  <c r="J62" i="5"/>
  <c r="C63" i="5" s="1"/>
  <c r="L62" i="5" l="1"/>
  <c r="D63" i="5" s="1"/>
  <c r="E63" i="5" s="1"/>
  <c r="H63" i="5" l="1"/>
  <c r="I63" i="5" l="1"/>
  <c r="M63" i="5" s="1"/>
  <c r="K63" i="5" l="1"/>
  <c r="F64" i="5" s="1"/>
  <c r="J63" i="5"/>
  <c r="C64" i="5" s="1"/>
  <c r="L63" i="5" l="1"/>
  <c r="D64" i="5" s="1"/>
  <c r="E64" i="5" s="1"/>
  <c r="H64" i="5" l="1"/>
  <c r="I64" i="5" s="1"/>
  <c r="M64" i="5" s="1"/>
  <c r="K64" i="5" l="1"/>
  <c r="F65" i="5" s="1"/>
  <c r="J64" i="5"/>
  <c r="C65" i="5" s="1"/>
  <c r="L64" i="5" l="1"/>
  <c r="D65" i="5" s="1"/>
  <c r="E65" i="5" s="1"/>
  <c r="H65" i="5" l="1"/>
  <c r="I65" i="5" l="1"/>
  <c r="M65" i="5" l="1"/>
  <c r="J65" i="5"/>
  <c r="C66" i="5" s="1"/>
  <c r="K65" i="5"/>
  <c r="F66" i="5" s="1"/>
  <c r="L65" i="5" l="1"/>
  <c r="D66" i="5" s="1"/>
  <c r="E66" i="5" s="1"/>
  <c r="H66" i="5" l="1"/>
  <c r="I66" i="5" s="1"/>
  <c r="M66" i="5" s="1"/>
  <c r="K66" i="5" l="1"/>
  <c r="F67" i="5" s="1"/>
  <c r="J66" i="5"/>
  <c r="C67" i="5" s="1"/>
  <c r="L66" i="5" l="1"/>
  <c r="D67" i="5" s="1"/>
  <c r="E67" i="5" s="1"/>
  <c r="H67" i="5" s="1"/>
  <c r="I67" i="5" l="1"/>
  <c r="M67" i="5" s="1"/>
  <c r="J67" i="5" l="1"/>
  <c r="C68" i="5" s="1"/>
  <c r="K67" i="5"/>
  <c r="F68" i="5" s="1"/>
  <c r="L67" i="5" l="1"/>
  <c r="D68" i="5" s="1"/>
  <c r="E68" i="5" s="1"/>
  <c r="H68" i="5" l="1"/>
  <c r="I68" i="5" l="1"/>
  <c r="M68" i="5" s="1"/>
  <c r="K68" i="5" l="1"/>
  <c r="F69" i="5" s="1"/>
  <c r="J68" i="5"/>
  <c r="C69" i="5" s="1"/>
  <c r="L68" i="5" l="1"/>
  <c r="D69" i="5" s="1"/>
  <c r="E69" i="5" s="1"/>
  <c r="H69" i="5" s="1"/>
  <c r="I69" i="5" l="1"/>
  <c r="J69" i="5" s="1"/>
  <c r="C70" i="5" s="1"/>
  <c r="K69" i="5" l="1"/>
  <c r="F70" i="5" s="1"/>
  <c r="M69" i="5"/>
  <c r="L69" i="5" l="1"/>
  <c r="D70" i="5" s="1"/>
  <c r="E70" i="5" s="1"/>
  <c r="H70" i="5" l="1"/>
  <c r="I70" i="5" l="1"/>
  <c r="M70" i="5" s="1"/>
  <c r="K70" i="5" l="1"/>
  <c r="F71" i="5" s="1"/>
  <c r="J70" i="5"/>
  <c r="C71" i="5" s="1"/>
  <c r="L70" i="5" l="1"/>
  <c r="D71" i="5" s="1"/>
  <c r="E71" i="5" s="1"/>
  <c r="H71" i="5" l="1"/>
  <c r="I71" i="5" l="1"/>
  <c r="M71" i="5" s="1"/>
  <c r="J71" i="5" l="1"/>
  <c r="C72" i="5" s="1"/>
  <c r="K71" i="5"/>
  <c r="F72" i="5" s="1"/>
  <c r="L71" i="5" l="1"/>
  <c r="D72" i="5" s="1"/>
  <c r="E72" i="5" s="1"/>
  <c r="H72" i="5" l="1"/>
  <c r="I72" i="5" l="1"/>
  <c r="M72" i="5" s="1"/>
  <c r="J72" i="5" l="1"/>
  <c r="C73" i="5" s="1"/>
  <c r="K72" i="5"/>
  <c r="F73" i="5" s="1"/>
  <c r="L72" i="5" l="1"/>
  <c r="D73" i="5" s="1"/>
  <c r="E73" i="5" s="1"/>
  <c r="H73" i="5" l="1"/>
  <c r="I73" i="5" l="1"/>
  <c r="M73" i="5" s="1"/>
  <c r="K73" i="5" l="1"/>
  <c r="F74" i="5" s="1"/>
  <c r="J73" i="5"/>
  <c r="C74" i="5" s="1"/>
  <c r="L73" i="5" l="1"/>
  <c r="D74" i="5" s="1"/>
  <c r="E74" i="5" s="1"/>
  <c r="H74" i="5" l="1"/>
  <c r="I74" i="5" s="1"/>
  <c r="M74" i="5" s="1"/>
  <c r="K74" i="5" l="1"/>
  <c r="F75" i="5" s="1"/>
  <c r="J74" i="5"/>
  <c r="C75" i="5" s="1"/>
  <c r="L74" i="5" l="1"/>
  <c r="D75" i="5" s="1"/>
  <c r="E75" i="5" s="1"/>
  <c r="H75" i="5" s="1"/>
  <c r="I75" i="5" l="1"/>
  <c r="M75" i="5" s="1"/>
  <c r="J75" i="5" l="1"/>
  <c r="C76" i="5" s="1"/>
  <c r="K75" i="5"/>
  <c r="F76" i="5" s="1"/>
  <c r="L75" i="5" l="1"/>
  <c r="D76" i="5" s="1"/>
  <c r="E76" i="5" s="1"/>
  <c r="H76" i="5" l="1"/>
  <c r="I76" i="5" s="1"/>
  <c r="M76" i="5" s="1"/>
  <c r="K76" i="5" l="1"/>
  <c r="F77" i="5" s="1"/>
  <c r="J76" i="5"/>
  <c r="C77" i="5" s="1"/>
  <c r="L76" i="5" l="1"/>
  <c r="D77" i="5" s="1"/>
  <c r="E77" i="5" s="1"/>
  <c r="H77" i="5" l="1"/>
  <c r="I77" i="5" l="1"/>
  <c r="M77" i="5" s="1"/>
  <c r="K77" i="5" l="1"/>
  <c r="F78" i="5" s="1"/>
  <c r="J77" i="5"/>
  <c r="C78" i="5" s="1"/>
  <c r="L77" i="5" l="1"/>
  <c r="D78" i="5" s="1"/>
  <c r="E78" i="5" s="1"/>
  <c r="H78" i="5" l="1"/>
  <c r="I78" i="5" l="1"/>
  <c r="M78" i="5" s="1"/>
  <c r="K78" i="5" l="1"/>
  <c r="F79" i="5" s="1"/>
  <c r="J78" i="5"/>
  <c r="C79" i="5" s="1"/>
  <c r="L78" i="5" l="1"/>
  <c r="D79" i="5" s="1"/>
  <c r="E79" i="5" s="1"/>
  <c r="H79" i="5" l="1"/>
  <c r="I79" i="5" l="1"/>
  <c r="M79" i="5" s="1"/>
  <c r="K79" i="5" l="1"/>
  <c r="F80" i="5" s="1"/>
  <c r="J79" i="5"/>
  <c r="C80" i="5" s="1"/>
  <c r="L79" i="5" l="1"/>
  <c r="D80" i="5" s="1"/>
  <c r="E80" i="5" s="1"/>
  <c r="H80" i="5" s="1"/>
  <c r="I80" i="5" l="1"/>
  <c r="J80" i="5" s="1"/>
  <c r="C81" i="5" s="1"/>
  <c r="M80" i="5" l="1"/>
  <c r="K80" i="5"/>
  <c r="F81" i="5" s="1"/>
  <c r="L80" i="5" l="1"/>
  <c r="D81" i="5" s="1"/>
  <c r="E81" i="5" s="1"/>
  <c r="H81" i="5" l="1"/>
  <c r="I81" i="5" s="1"/>
  <c r="M81" i="5" s="1"/>
  <c r="K81" i="5" l="1"/>
  <c r="F82" i="5" s="1"/>
  <c r="J81" i="5"/>
  <c r="C82" i="5" s="1"/>
  <c r="L81" i="5" l="1"/>
  <c r="D82" i="5" s="1"/>
  <c r="E82" i="5" s="1"/>
  <c r="H82" i="5" l="1"/>
  <c r="I82" i="5" l="1"/>
  <c r="K82" i="5" s="1"/>
  <c r="F83" i="5" s="1"/>
  <c r="M82" i="5" l="1"/>
  <c r="J82" i="5"/>
  <c r="C83" i="5" s="1"/>
  <c r="L82" i="5" l="1"/>
  <c r="D83" i="5" s="1"/>
  <c r="E83" i="5" s="1"/>
  <c r="H83" i="5" l="1"/>
  <c r="I83" i="5" l="1"/>
  <c r="K83" i="5" s="1"/>
  <c r="F84" i="5" s="1"/>
  <c r="M83" i="5" l="1"/>
  <c r="J83" i="5"/>
  <c r="C84" i="5" s="1"/>
  <c r="L83" i="5" l="1"/>
  <c r="D84" i="5" s="1"/>
  <c r="E84" i="5" s="1"/>
  <c r="H84" i="5" l="1"/>
  <c r="I84" i="5" s="1"/>
  <c r="K84" i="5" l="1"/>
  <c r="F85" i="5" s="1"/>
  <c r="M84" i="5"/>
  <c r="J84" i="5"/>
  <c r="C85" i="5" s="1"/>
  <c r="L84" i="5" l="1"/>
  <c r="D85" i="5" s="1"/>
  <c r="E85" i="5" s="1"/>
  <c r="H85" i="5" l="1"/>
  <c r="I85" i="5" l="1"/>
  <c r="J85" i="5" s="1"/>
  <c r="C86" i="5" s="1"/>
  <c r="K85" i="5" l="1"/>
  <c r="F86" i="5" s="1"/>
  <c r="M85" i="5"/>
  <c r="L85" i="5" l="1"/>
  <c r="D86" i="5" s="1"/>
  <c r="E86" i="5" s="1"/>
  <c r="H86" i="5" l="1"/>
  <c r="I86" i="5" l="1"/>
  <c r="M86" i="5" s="1"/>
  <c r="J86" i="5" l="1"/>
  <c r="C87" i="5" s="1"/>
  <c r="K86" i="5"/>
  <c r="F87" i="5" s="1"/>
  <c r="L86" i="5" l="1"/>
  <c r="D87" i="5" s="1"/>
  <c r="E87" i="5" s="1"/>
  <c r="H87" i="5" l="1"/>
  <c r="I87" i="5" s="1"/>
  <c r="M87" i="5" s="1"/>
  <c r="K87" i="5" l="1"/>
  <c r="F88" i="5" s="1"/>
  <c r="J87" i="5"/>
  <c r="C88" i="5" s="1"/>
  <c r="L87" i="5" l="1"/>
  <c r="D88" i="5" s="1"/>
  <c r="E88" i="5" s="1"/>
  <c r="H88" i="5" s="1"/>
  <c r="I88" i="5" l="1"/>
  <c r="M88" i="5" s="1"/>
  <c r="J88" i="5" l="1"/>
  <c r="C89" i="5" s="1"/>
  <c r="K88" i="5"/>
  <c r="F89" i="5" s="1"/>
  <c r="L88" i="5" l="1"/>
  <c r="D89" i="5" s="1"/>
  <c r="E89" i="5" s="1"/>
  <c r="H89" i="5" l="1"/>
  <c r="I89" i="5" s="1"/>
  <c r="M89" i="5" s="1"/>
  <c r="K89" i="5" l="1"/>
  <c r="F90" i="5" s="1"/>
  <c r="J89" i="5"/>
  <c r="C90" i="5" s="1"/>
  <c r="L89" i="5" l="1"/>
  <c r="D90" i="5" s="1"/>
  <c r="E90" i="5" s="1"/>
  <c r="H90" i="5" l="1"/>
  <c r="I90" i="5" l="1"/>
  <c r="M90" i="5" s="1"/>
  <c r="K90" i="5" l="1"/>
  <c r="F91" i="5" s="1"/>
  <c r="J90" i="5"/>
  <c r="C91" i="5" s="1"/>
  <c r="L90" i="5" l="1"/>
  <c r="D91" i="5" s="1"/>
  <c r="E91" i="5" s="1"/>
  <c r="H91" i="5" l="1"/>
  <c r="I91" i="5" l="1"/>
  <c r="M91" i="5" s="1"/>
  <c r="J91" i="5" l="1"/>
  <c r="C92" i="5" s="1"/>
  <c r="K91" i="5"/>
  <c r="F92" i="5" s="1"/>
  <c r="L91" i="5" l="1"/>
  <c r="D92" i="5" s="1"/>
  <c r="E92" i="5" s="1"/>
  <c r="H92" i="5" l="1"/>
  <c r="I92" i="5" l="1"/>
  <c r="M92" i="5" s="1"/>
  <c r="K92" i="5" l="1"/>
  <c r="F93" i="5" s="1"/>
  <c r="J92" i="5"/>
  <c r="C93" i="5" s="1"/>
  <c r="L92" i="5" l="1"/>
  <c r="D93" i="5" s="1"/>
  <c r="E93" i="5" s="1"/>
  <c r="H93" i="5" s="1"/>
  <c r="I93" i="5" s="1"/>
  <c r="M93" i="5" s="1"/>
  <c r="J93" i="5" l="1"/>
  <c r="C94" i="5" s="1"/>
  <c r="K93" i="5"/>
  <c r="F94" i="5" s="1"/>
  <c r="L93" i="5" l="1"/>
  <c r="D94" i="5" s="1"/>
  <c r="E94" i="5" s="1"/>
  <c r="H94" i="5" l="1"/>
  <c r="I94" i="5" l="1"/>
  <c r="M94" i="5" s="1"/>
  <c r="J94" i="5" l="1"/>
  <c r="C95" i="5" s="1"/>
  <c r="K94" i="5"/>
  <c r="F95" i="5" s="1"/>
  <c r="L94" i="5" l="1"/>
  <c r="D95" i="5" s="1"/>
  <c r="E95" i="5" s="1"/>
  <c r="H95" i="5" l="1"/>
  <c r="I95" i="5" l="1"/>
  <c r="M95" i="5" s="1"/>
  <c r="K95" i="5" l="1"/>
  <c r="F96" i="5" s="1"/>
  <c r="J95" i="5"/>
  <c r="C96" i="5" s="1"/>
  <c r="L95" i="5" l="1"/>
  <c r="D96" i="5" s="1"/>
  <c r="E96" i="5" s="1"/>
  <c r="H96" i="5" l="1"/>
  <c r="I96" i="5" l="1"/>
  <c r="M96" i="5" s="1"/>
  <c r="J96" i="5" l="1"/>
  <c r="C97" i="5" s="1"/>
  <c r="K96" i="5"/>
  <c r="F97" i="5" s="1"/>
  <c r="L96" i="5" l="1"/>
  <c r="D97" i="5" s="1"/>
  <c r="E97" i="5" s="1"/>
  <c r="H97" i="5" l="1"/>
  <c r="I97" i="5" l="1"/>
  <c r="M97" i="5" s="1"/>
  <c r="K97" i="5" l="1"/>
  <c r="F98" i="5" s="1"/>
  <c r="J97" i="5"/>
  <c r="C98" i="5" s="1"/>
  <c r="L97" i="5" l="1"/>
  <c r="D98" i="5" s="1"/>
  <c r="E98" i="5" s="1"/>
  <c r="H98" i="5" s="1"/>
  <c r="I98" i="5" l="1"/>
  <c r="J98" i="5" s="1"/>
  <c r="C99" i="5" s="1"/>
  <c r="M98" i="5" l="1"/>
  <c r="K98" i="5"/>
  <c r="F99" i="5" s="1"/>
  <c r="L98" i="5" l="1"/>
  <c r="D99" i="5" s="1"/>
  <c r="E99" i="5" s="1"/>
  <c r="H99" i="5" s="1"/>
  <c r="I99" i="5" l="1"/>
  <c r="M99" i="5" s="1"/>
  <c r="J99" i="5" l="1"/>
  <c r="C100" i="5" s="1"/>
  <c r="K99" i="5"/>
  <c r="F100" i="5" s="1"/>
  <c r="L99" i="5" l="1"/>
  <c r="D100" i="5" s="1"/>
  <c r="E100" i="5" s="1"/>
  <c r="H100" i="5" s="1"/>
  <c r="I100" i="5" s="1"/>
  <c r="M100" i="5" s="1"/>
  <c r="K100" i="5" l="1"/>
  <c r="F101" i="5" s="1"/>
  <c r="J100" i="5"/>
  <c r="C101" i="5" s="1"/>
  <c r="L100" i="5" l="1"/>
  <c r="D101" i="5" s="1"/>
  <c r="E101" i="5" s="1"/>
  <c r="H101" i="5" l="1"/>
  <c r="I101" i="5" l="1"/>
  <c r="K101" i="5" s="1"/>
  <c r="F102" i="5" s="1"/>
  <c r="M101" i="5" l="1"/>
  <c r="J101" i="5"/>
  <c r="C102" i="5" s="1"/>
  <c r="L101" i="5" l="1"/>
  <c r="D102" i="5" s="1"/>
  <c r="E102" i="5" s="1"/>
  <c r="H102" i="5" l="1"/>
  <c r="I102" i="5" s="1"/>
  <c r="M102" i="5" s="1"/>
  <c r="K102" i="5" l="1"/>
  <c r="F103" i="5" s="1"/>
  <c r="J102" i="5"/>
  <c r="C103" i="5" s="1"/>
  <c r="L102" i="5" l="1"/>
  <c r="D103" i="5" s="1"/>
  <c r="E103" i="5" s="1"/>
  <c r="H103" i="5" l="1"/>
  <c r="I103" i="5" l="1"/>
  <c r="M103" i="5" s="1"/>
  <c r="K103" i="5" l="1"/>
  <c r="F104" i="5" s="1"/>
  <c r="J103" i="5"/>
  <c r="L103" i="5" l="1"/>
  <c r="D104" i="5" s="1"/>
  <c r="C104" i="5"/>
  <c r="E104" i="5" l="1"/>
  <c r="H104" i="5" s="1"/>
  <c r="I104" i="5" s="1"/>
  <c r="M104" i="5" l="1"/>
  <c r="J104" i="5"/>
  <c r="C105" i="5" s="1"/>
  <c r="K104" i="5"/>
  <c r="F105" i="5" s="1"/>
  <c r="L104" i="5" l="1"/>
  <c r="D105" i="5" s="1"/>
  <c r="E105" i="5" s="1"/>
  <c r="H105" i="5" l="1"/>
  <c r="I105" i="5" l="1"/>
  <c r="M105" i="5" s="1"/>
  <c r="K105" i="5" l="1"/>
  <c r="F106" i="5" s="1"/>
  <c r="J105" i="5"/>
  <c r="C106" i="5" s="1"/>
  <c r="L105" i="5" l="1"/>
  <c r="D106" i="5" s="1"/>
  <c r="E106" i="5" s="1"/>
  <c r="H106" i="5" l="1"/>
  <c r="I106" i="5" s="1"/>
  <c r="M106" i="5" s="1"/>
  <c r="K106" i="5" l="1"/>
  <c r="F107" i="5" s="1"/>
  <c r="J106" i="5"/>
  <c r="C107" i="5" s="1"/>
  <c r="L106" i="5" l="1"/>
  <c r="D107" i="5" s="1"/>
  <c r="E107" i="5" s="1"/>
  <c r="H107" i="5" l="1"/>
  <c r="I107" i="5" l="1"/>
  <c r="M107" i="5" s="1"/>
  <c r="K107" i="5" l="1"/>
  <c r="F108" i="5" s="1"/>
  <c r="J107" i="5"/>
  <c r="C108" i="5" s="1"/>
  <c r="L107" i="5" l="1"/>
  <c r="D108" i="5" s="1"/>
  <c r="E108" i="5" s="1"/>
  <c r="H108" i="5" s="1"/>
  <c r="I108" i="5" l="1"/>
  <c r="J108" i="5" s="1"/>
  <c r="C109" i="5" s="1"/>
  <c r="M108" i="5" l="1"/>
  <c r="K108" i="5"/>
  <c r="F109" i="5" s="1"/>
  <c r="L108" i="5" l="1"/>
  <c r="D109" i="5" s="1"/>
  <c r="E109" i="5" s="1"/>
  <c r="H109" i="5" l="1"/>
  <c r="I109" i="5" s="1"/>
  <c r="M109" i="5" s="1"/>
  <c r="K109" i="5" l="1"/>
  <c r="F110" i="5" s="1"/>
  <c r="J109" i="5"/>
  <c r="C110" i="5" s="1"/>
  <c r="L109" i="5" l="1"/>
  <c r="D110" i="5" s="1"/>
  <c r="E110" i="5" s="1"/>
  <c r="H110" i="5" l="1"/>
  <c r="I110" i="5" l="1"/>
  <c r="M110" i="5" s="1"/>
  <c r="K110" i="5" l="1"/>
  <c r="F111" i="5" s="1"/>
  <c r="J110" i="5"/>
  <c r="C111" i="5" s="1"/>
  <c r="L110" i="5" l="1"/>
  <c r="D111" i="5" s="1"/>
  <c r="E111" i="5" s="1"/>
  <c r="H111" i="5" l="1"/>
  <c r="I111" i="5" l="1"/>
  <c r="M111" i="5" s="1"/>
  <c r="J111" i="5" l="1"/>
  <c r="C112" i="5" s="1"/>
  <c r="K111" i="5"/>
  <c r="F112" i="5" s="1"/>
  <c r="L111" i="5" l="1"/>
  <c r="D112" i="5" s="1"/>
  <c r="E112" i="5" s="1"/>
  <c r="H112" i="5" s="1"/>
  <c r="I112" i="5" l="1"/>
  <c r="J112" i="5" s="1"/>
  <c r="C113" i="5" s="1"/>
  <c r="M112" i="5" l="1"/>
  <c r="K112" i="5"/>
  <c r="F113" i="5" s="1"/>
  <c r="L112" i="5" l="1"/>
  <c r="D113" i="5" s="1"/>
  <c r="E113" i="5" s="1"/>
  <c r="H113" i="5" s="1"/>
  <c r="I113" i="5" l="1"/>
  <c r="J113" i="5" s="1"/>
  <c r="C114" i="5" s="1"/>
  <c r="K113" i="5" l="1"/>
  <c r="F114" i="5" s="1"/>
  <c r="M113" i="5"/>
  <c r="L113" i="5" l="1"/>
  <c r="D114" i="5" s="1"/>
  <c r="E114" i="5" s="1"/>
  <c r="H114" i="5" l="1"/>
  <c r="I114" i="5" l="1"/>
  <c r="M114" i="5" s="1"/>
  <c r="J114" i="5" l="1"/>
  <c r="C115" i="5" s="1"/>
  <c r="K114" i="5"/>
  <c r="F115" i="5" s="1"/>
  <c r="L114" i="5" l="1"/>
  <c r="D115" i="5" s="1"/>
  <c r="E115" i="5" s="1"/>
  <c r="H115" i="5" l="1"/>
  <c r="I115" i="5" l="1"/>
  <c r="M115" i="5" s="1"/>
  <c r="K115" i="5" l="1"/>
  <c r="F116" i="5" s="1"/>
  <c r="J115" i="5"/>
  <c r="C116" i="5" s="1"/>
  <c r="L115" i="5" l="1"/>
  <c r="D116" i="5" s="1"/>
  <c r="E116" i="5" s="1"/>
  <c r="H116" i="5" l="1"/>
  <c r="I116" i="5" l="1"/>
  <c r="M116" i="5" s="1"/>
  <c r="J116" i="5" l="1"/>
  <c r="C117" i="5" s="1"/>
  <c r="K116" i="5"/>
  <c r="F117" i="5" s="1"/>
  <c r="L116" i="5" l="1"/>
  <c r="D117" i="5" s="1"/>
  <c r="E117" i="5" s="1"/>
  <c r="H117" i="5" l="1"/>
  <c r="I117" i="5" l="1"/>
  <c r="M117" i="5" s="1"/>
  <c r="K117" i="5" l="1"/>
  <c r="F118" i="5" s="1"/>
  <c r="J117" i="5"/>
  <c r="C118" i="5" s="1"/>
  <c r="L117" i="5" l="1"/>
  <c r="D118" i="5" s="1"/>
  <c r="E118" i="5" s="1"/>
  <c r="H118" i="5" s="1"/>
  <c r="I118" i="5" l="1"/>
  <c r="J118" i="5" s="1"/>
  <c r="C119" i="5" s="1"/>
  <c r="M118" i="5" l="1"/>
  <c r="K118" i="5"/>
  <c r="F119" i="5" s="1"/>
  <c r="L118" i="5" l="1"/>
  <c r="D119" i="5" s="1"/>
  <c r="E119" i="5" s="1"/>
  <c r="H119" i="5" l="1"/>
  <c r="I119" i="5" l="1"/>
  <c r="M119" i="5" s="1"/>
  <c r="J119" i="5" l="1"/>
  <c r="C120" i="5" s="1"/>
  <c r="K119" i="5"/>
  <c r="F120" i="5" s="1"/>
  <c r="L119" i="5" l="1"/>
  <c r="D120" i="5" s="1"/>
  <c r="E120" i="5" s="1"/>
  <c r="H120" i="5" l="1"/>
  <c r="I120" i="5" l="1"/>
  <c r="M120" i="5" s="1"/>
  <c r="J120" i="5" l="1"/>
  <c r="C121" i="5" s="1"/>
  <c r="K120" i="5"/>
  <c r="F121" i="5" s="1"/>
  <c r="L120" i="5" l="1"/>
  <c r="D121" i="5" s="1"/>
  <c r="E121" i="5" s="1"/>
  <c r="H121" i="5" l="1"/>
  <c r="I121" i="5" l="1"/>
  <c r="M121" i="5" s="1"/>
  <c r="J121" i="5" l="1"/>
  <c r="C122" i="5" s="1"/>
  <c r="K121" i="5"/>
  <c r="F122" i="5" s="1"/>
  <c r="L121" i="5" l="1"/>
  <c r="D122" i="5" s="1"/>
  <c r="E122" i="5" s="1"/>
  <c r="H122" i="5" l="1"/>
  <c r="I122" i="5" s="1"/>
  <c r="M122" i="5" l="1"/>
  <c r="K122" i="5"/>
  <c r="F123" i="5" s="1"/>
  <c r="J122" i="5"/>
  <c r="C123" i="5" s="1"/>
  <c r="L122" i="5" l="1"/>
  <c r="D123" i="5" s="1"/>
  <c r="E123" i="5" s="1"/>
  <c r="H123" i="5" l="1"/>
  <c r="I123" i="5" l="1"/>
  <c r="M123" i="5" s="1"/>
  <c r="J123" i="5" l="1"/>
  <c r="C124" i="5" s="1"/>
  <c r="K123" i="5"/>
  <c r="F124" i="5" s="1"/>
  <c r="L123" i="5" l="1"/>
  <c r="D124" i="5" s="1"/>
  <c r="E124" i="5" s="1"/>
  <c r="H124" i="5" l="1"/>
  <c r="I124" i="5" l="1"/>
  <c r="M124" i="5" s="1"/>
  <c r="J124" i="5" l="1"/>
  <c r="C125" i="5" s="1"/>
  <c r="K124" i="5"/>
  <c r="F125" i="5" s="1"/>
  <c r="L124" i="5" l="1"/>
  <c r="D125" i="5" s="1"/>
  <c r="E125" i="5" s="1"/>
  <c r="H125" i="5" s="1"/>
  <c r="I125" i="5" l="1"/>
  <c r="M125" i="5" s="1"/>
  <c r="J125" i="5" l="1"/>
  <c r="C126" i="5" s="1"/>
  <c r="K125" i="5"/>
  <c r="F126" i="5" s="1"/>
  <c r="L125" i="5" l="1"/>
  <c r="D126" i="5" s="1"/>
  <c r="E126" i="5" s="1"/>
  <c r="H126" i="5" s="1"/>
  <c r="I126" i="5" l="1"/>
  <c r="J126" i="5" s="1"/>
  <c r="C127" i="5" s="1"/>
  <c r="K126" i="5" l="1"/>
  <c r="F127" i="5" s="1"/>
  <c r="M126" i="5"/>
  <c r="L126" i="5" l="1"/>
  <c r="D127" i="5" s="1"/>
  <c r="E127" i="5" s="1"/>
  <c r="H127" i="5" l="1"/>
  <c r="I127" i="5" l="1"/>
  <c r="M127" i="5" s="1"/>
  <c r="K127" i="5" l="1"/>
  <c r="F128" i="5" s="1"/>
  <c r="J127" i="5"/>
  <c r="C128" i="5" s="1"/>
  <c r="L127" i="5" l="1"/>
  <c r="D128" i="5" s="1"/>
  <c r="E128" i="5" s="1"/>
  <c r="H128" i="5" l="1"/>
  <c r="I128" i="5" l="1"/>
  <c r="M128" i="5" s="1"/>
  <c r="J128" i="5" l="1"/>
  <c r="C129" i="5" s="1"/>
  <c r="K128" i="5"/>
  <c r="F129" i="5" s="1"/>
  <c r="L128" i="5" l="1"/>
  <c r="D129" i="5" s="1"/>
  <c r="E129" i="5" s="1"/>
  <c r="H129" i="5" l="1"/>
  <c r="I129" i="5" l="1"/>
  <c r="M129" i="5" s="1"/>
  <c r="J129" i="5" l="1"/>
  <c r="C130" i="5" s="1"/>
  <c r="K129" i="5"/>
  <c r="F130" i="5" s="1"/>
  <c r="L129" i="5" l="1"/>
  <c r="D130" i="5" s="1"/>
  <c r="E130" i="5" s="1"/>
  <c r="H130" i="5" s="1"/>
  <c r="I130" i="5" l="1"/>
  <c r="J130" i="5" l="1"/>
  <c r="C131" i="5" s="1"/>
  <c r="M130" i="5"/>
  <c r="K130" i="5"/>
  <c r="F131" i="5" s="1"/>
  <c r="L130" i="5" l="1"/>
  <c r="D131" i="5" s="1"/>
  <c r="E131" i="5" s="1"/>
  <c r="H131" i="5" l="1"/>
  <c r="I131" i="5" s="1"/>
  <c r="M131" i="5" l="1"/>
  <c r="K131" i="5"/>
  <c r="F132" i="5" s="1"/>
  <c r="J131" i="5"/>
  <c r="C132" i="5" s="1"/>
  <c r="L131" i="5" l="1"/>
  <c r="D132" i="5" s="1"/>
  <c r="E132" i="5" s="1"/>
  <c r="H132" i="5" l="1"/>
  <c r="I132" i="5" s="1"/>
  <c r="M132" i="5" s="1"/>
  <c r="J132" i="5" l="1"/>
  <c r="C133" i="5" s="1"/>
  <c r="K132" i="5"/>
  <c r="F133" i="5" s="1"/>
  <c r="L132" i="5" l="1"/>
  <c r="D133" i="5" s="1"/>
  <c r="E133" i="5" s="1"/>
  <c r="H133" i="5" l="1"/>
  <c r="I133" i="5" s="1"/>
  <c r="M133" i="5" s="1"/>
  <c r="K133" i="5" l="1"/>
  <c r="F134" i="5" s="1"/>
  <c r="J133" i="5"/>
  <c r="C134" i="5" s="1"/>
  <c r="L133" i="5" l="1"/>
  <c r="D134" i="5" s="1"/>
  <c r="E134" i="5" s="1"/>
  <c r="H134" i="5" s="1"/>
  <c r="I134" i="5" l="1"/>
  <c r="M134" i="5" s="1"/>
  <c r="J134" i="5" l="1"/>
  <c r="C135" i="5" s="1"/>
  <c r="K134" i="5"/>
  <c r="F135" i="5" s="1"/>
  <c r="L134" i="5" l="1"/>
  <c r="D135" i="5" s="1"/>
  <c r="E135" i="5" s="1"/>
  <c r="H135" i="5" s="1"/>
  <c r="I135" i="5" l="1"/>
  <c r="M135" i="5" s="1"/>
  <c r="K135" i="5" l="1"/>
  <c r="F136" i="5" s="1"/>
  <c r="J135" i="5"/>
  <c r="C136" i="5" s="1"/>
  <c r="L135" i="5" l="1"/>
  <c r="D136" i="5" s="1"/>
  <c r="E136" i="5" s="1"/>
  <c r="H136" i="5" l="1"/>
  <c r="I136" i="5" l="1"/>
  <c r="M136" i="5" s="1"/>
  <c r="J136" i="5" l="1"/>
  <c r="C137" i="5" s="1"/>
  <c r="K136" i="5"/>
  <c r="F137" i="5" s="1"/>
  <c r="L136" i="5" l="1"/>
  <c r="D137" i="5" s="1"/>
  <c r="E137" i="5" s="1"/>
  <c r="H137" i="5" l="1"/>
  <c r="I137" i="5" l="1"/>
  <c r="M137" i="5" s="1"/>
  <c r="K137" i="5" l="1"/>
  <c r="F138" i="5" s="1"/>
  <c r="J137" i="5"/>
  <c r="C138" i="5" s="1"/>
  <c r="L137" i="5" l="1"/>
  <c r="D138" i="5" s="1"/>
  <c r="E138" i="5" s="1"/>
  <c r="H138" i="5" l="1"/>
  <c r="I138" i="5" s="1"/>
  <c r="M138" i="5" s="1"/>
  <c r="K138" i="5" l="1"/>
  <c r="F139" i="5" s="1"/>
  <c r="J138" i="5"/>
  <c r="C139" i="5" s="1"/>
  <c r="L138" i="5" l="1"/>
  <c r="D139" i="5" s="1"/>
  <c r="E139" i="5" s="1"/>
  <c r="H139" i="5" s="1"/>
  <c r="I139" i="5" l="1"/>
  <c r="M139" i="5" l="1"/>
  <c r="K139" i="5"/>
  <c r="F140" i="5" s="1"/>
  <c r="J139" i="5"/>
  <c r="C140" i="5" s="1"/>
  <c r="L139" i="5" l="1"/>
  <c r="D140" i="5" s="1"/>
  <c r="E140" i="5" s="1"/>
  <c r="H140" i="5" l="1"/>
  <c r="I140" i="5" l="1"/>
  <c r="M140" i="5" s="1"/>
  <c r="J140" i="5" l="1"/>
  <c r="C141" i="5" s="1"/>
  <c r="K140" i="5"/>
  <c r="F141" i="5" s="1"/>
  <c r="L140" i="5" l="1"/>
  <c r="D141" i="5" s="1"/>
  <c r="E141" i="5" s="1"/>
  <c r="H141" i="5" s="1"/>
  <c r="I141" i="5" l="1"/>
  <c r="M141" i="5" s="1"/>
  <c r="J141" i="5" l="1"/>
  <c r="C142" i="5" s="1"/>
  <c r="K141" i="5"/>
  <c r="F142" i="5" s="1"/>
  <c r="L141" i="5" l="1"/>
  <c r="D142" i="5" s="1"/>
  <c r="E142" i="5" s="1"/>
  <c r="H142" i="5" l="1"/>
  <c r="I142" i="5" s="1"/>
  <c r="K142" i="5" l="1"/>
  <c r="F143" i="5" s="1"/>
  <c r="M142" i="5"/>
  <c r="J142" i="5"/>
  <c r="C143" i="5" s="1"/>
  <c r="L142" i="5" l="1"/>
  <c r="D143" i="5" s="1"/>
  <c r="E143" i="5" s="1"/>
  <c r="H143" i="5" l="1"/>
  <c r="I143" i="5" l="1"/>
  <c r="M143" i="5" s="1"/>
  <c r="J143" i="5" l="1"/>
  <c r="C144" i="5" s="1"/>
  <c r="K143" i="5"/>
  <c r="F144" i="5" s="1"/>
  <c r="L143" i="5" l="1"/>
  <c r="D144" i="5" s="1"/>
  <c r="E144" i="5" s="1"/>
  <c r="H144" i="5" s="1"/>
  <c r="I144" i="5" l="1"/>
  <c r="J144" i="5" l="1"/>
  <c r="C145" i="5" s="1"/>
  <c r="M144" i="5"/>
  <c r="K144" i="5"/>
  <c r="F145" i="5" s="1"/>
  <c r="L144" i="5" l="1"/>
  <c r="D145" i="5" s="1"/>
  <c r="E145" i="5" s="1"/>
  <c r="H145" i="5" l="1"/>
  <c r="I145" i="5" s="1"/>
  <c r="M145" i="5" l="1"/>
  <c r="K145" i="5"/>
  <c r="F146" i="5" s="1"/>
  <c r="J145" i="5"/>
  <c r="C146" i="5" s="1"/>
  <c r="L145" i="5" l="1"/>
  <c r="D146" i="5" s="1"/>
  <c r="E146" i="5" s="1"/>
  <c r="H146" i="5" l="1"/>
  <c r="I146" i="5" l="1"/>
  <c r="J146" i="5" l="1"/>
  <c r="C147" i="5" s="1"/>
  <c r="M146" i="5"/>
  <c r="K146" i="5"/>
  <c r="F147" i="5" s="1"/>
  <c r="L146" i="5" l="1"/>
  <c r="D147" i="5" s="1"/>
  <c r="E147" i="5" s="1"/>
  <c r="H147" i="5" l="1"/>
  <c r="I147" i="5" l="1"/>
  <c r="M147" i="5" l="1"/>
  <c r="K147" i="5"/>
  <c r="F148" i="5" s="1"/>
  <c r="J147" i="5"/>
  <c r="C148" i="5" s="1"/>
  <c r="L147" i="5" l="1"/>
  <c r="D148" i="5" s="1"/>
  <c r="E148" i="5" s="1"/>
  <c r="H148" i="5" s="1"/>
  <c r="I148" i="5" l="1"/>
  <c r="M148" i="5" s="1"/>
  <c r="J148" i="5" l="1"/>
  <c r="C149" i="5" s="1"/>
  <c r="K148" i="5"/>
  <c r="F149" i="5" s="1"/>
  <c r="L148" i="5" l="1"/>
  <c r="D149" i="5" s="1"/>
  <c r="E149" i="5" s="1"/>
  <c r="H149" i="5" l="1"/>
  <c r="I149" i="5" s="1"/>
  <c r="M149" i="5" s="1"/>
  <c r="K149" i="5" l="1"/>
  <c r="F150" i="5" s="1"/>
  <c r="J149" i="5"/>
  <c r="C150" i="5" s="1"/>
  <c r="L149" i="5" l="1"/>
  <c r="D150" i="5" s="1"/>
  <c r="E150" i="5" s="1"/>
  <c r="H150" i="5" l="1"/>
  <c r="I150" i="5" l="1"/>
  <c r="M150" i="5" s="1"/>
  <c r="J150" i="5" l="1"/>
  <c r="C151" i="5" s="1"/>
  <c r="K150" i="5"/>
  <c r="F151" i="5" s="1"/>
  <c r="L150" i="5" l="1"/>
  <c r="D151" i="5" s="1"/>
  <c r="E151" i="5" s="1"/>
  <c r="H151" i="5" s="1"/>
  <c r="I151" i="5" l="1"/>
  <c r="M151" i="5" s="1"/>
  <c r="J151" i="5" l="1"/>
  <c r="C152" i="5" s="1"/>
  <c r="K151" i="5"/>
  <c r="F152" i="5" s="1"/>
  <c r="L151" i="5" l="1"/>
  <c r="D152" i="5" s="1"/>
  <c r="E152" i="5" s="1"/>
  <c r="H152" i="5" l="1"/>
  <c r="I152" i="5" l="1"/>
  <c r="M152" i="5" s="1"/>
  <c r="K152" i="5" l="1"/>
  <c r="F153" i="5" s="1"/>
  <c r="J152" i="5"/>
  <c r="C153" i="5" s="1"/>
  <c r="L152" i="5" l="1"/>
  <c r="D153" i="5" s="1"/>
  <c r="E153" i="5" s="1"/>
  <c r="H153" i="5" s="1"/>
  <c r="I153" i="5" s="1"/>
  <c r="M153" i="5" s="1"/>
  <c r="K153" i="5" l="1"/>
  <c r="F154" i="5" s="1"/>
  <c r="J153" i="5"/>
  <c r="C154" i="5" s="1"/>
  <c r="L153" i="5" l="1"/>
  <c r="D154" i="5" s="1"/>
  <c r="E154" i="5" s="1"/>
  <c r="H154" i="5" l="1"/>
  <c r="I154" i="5" l="1"/>
  <c r="J154" i="5" l="1"/>
  <c r="C155" i="5" s="1"/>
  <c r="M154" i="5"/>
  <c r="K154" i="5"/>
  <c r="F155" i="5" s="1"/>
  <c r="L154" i="5" l="1"/>
  <c r="D155" i="5" s="1"/>
  <c r="E155" i="5" s="1"/>
  <c r="H155" i="5" l="1"/>
  <c r="I155" i="5" s="1"/>
  <c r="M155" i="5" s="1"/>
  <c r="K155" i="5" l="1"/>
  <c r="F156" i="5" s="1"/>
  <c r="J155" i="5"/>
  <c r="C156" i="5" s="1"/>
  <c r="L155" i="5" l="1"/>
  <c r="D156" i="5" s="1"/>
  <c r="E156" i="5" s="1"/>
  <c r="H156" i="5" s="1"/>
  <c r="I156" i="5" l="1"/>
  <c r="M156" i="5" s="1"/>
  <c r="J156" i="5" l="1"/>
  <c r="C157" i="5" s="1"/>
  <c r="K156" i="5"/>
  <c r="F157" i="5" s="1"/>
  <c r="L156" i="5" l="1"/>
  <c r="D157" i="5" s="1"/>
  <c r="E157" i="5" s="1"/>
  <c r="H157" i="5" l="1"/>
  <c r="I157" i="5" l="1"/>
  <c r="M157" i="5" s="1"/>
  <c r="K157" i="5" l="1"/>
  <c r="F158" i="5" s="1"/>
  <c r="J157" i="5"/>
  <c r="C158" i="5" s="1"/>
  <c r="L157" i="5" l="1"/>
  <c r="D158" i="5" s="1"/>
  <c r="E158" i="5" s="1"/>
  <c r="H158" i="5" l="1"/>
  <c r="I158" i="5" l="1"/>
  <c r="M158" i="5" l="1"/>
  <c r="K158" i="5"/>
  <c r="F159" i="5" s="1"/>
  <c r="J158" i="5"/>
  <c r="C159" i="5" s="1"/>
  <c r="L158" i="5" l="1"/>
  <c r="D159" i="5" s="1"/>
  <c r="E159" i="5" s="1"/>
  <c r="H159" i="5" l="1"/>
  <c r="I159" i="5" l="1"/>
  <c r="M159" i="5" s="1"/>
  <c r="J159" i="5" l="1"/>
  <c r="C160" i="5" s="1"/>
  <c r="K159" i="5"/>
  <c r="F160" i="5" s="1"/>
  <c r="L159" i="5" l="1"/>
  <c r="D160" i="5" s="1"/>
  <c r="E160" i="5" s="1"/>
  <c r="H160" i="5" l="1"/>
  <c r="I160" i="5" s="1"/>
  <c r="M160" i="5" l="1"/>
  <c r="K160" i="5"/>
  <c r="F161" i="5" s="1"/>
  <c r="J160" i="5"/>
  <c r="C161" i="5" s="1"/>
  <c r="L160" i="5" l="1"/>
  <c r="D161" i="5" s="1"/>
  <c r="E161" i="5" s="1"/>
  <c r="H161" i="5" l="1"/>
  <c r="I161" i="5" l="1"/>
  <c r="M161" i="5" s="1"/>
  <c r="J161" i="5" l="1"/>
  <c r="C162" i="5" s="1"/>
  <c r="K161" i="5"/>
  <c r="F162" i="5" s="1"/>
  <c r="L161" i="5" l="1"/>
  <c r="D162" i="5" s="1"/>
  <c r="E162" i="5" s="1"/>
  <c r="H162" i="5" s="1"/>
  <c r="I162" i="5" l="1"/>
  <c r="M162" i="5" s="1"/>
  <c r="J162" i="5" l="1"/>
  <c r="C163" i="5" s="1"/>
  <c r="K162" i="5"/>
  <c r="F163" i="5" s="1"/>
  <c r="L162" i="5" l="1"/>
  <c r="D163" i="5" s="1"/>
  <c r="E163" i="5" s="1"/>
  <c r="H163" i="5" l="1"/>
  <c r="I163" i="5" l="1"/>
  <c r="M163" i="5" s="1"/>
  <c r="J163" i="5" l="1"/>
  <c r="C164" i="5" s="1"/>
  <c r="K163" i="5"/>
  <c r="F164" i="5" s="1"/>
  <c r="L163" i="5" l="1"/>
  <c r="D164" i="5" s="1"/>
  <c r="E164" i="5" s="1"/>
  <c r="H164" i="5" l="1"/>
  <c r="I164" i="5" s="1"/>
  <c r="M164" i="5" s="1"/>
  <c r="J164" i="5" l="1"/>
  <c r="C165" i="5" s="1"/>
  <c r="K164" i="5"/>
  <c r="F165" i="5" s="1"/>
  <c r="L164" i="5" l="1"/>
  <c r="D165" i="5" s="1"/>
  <c r="E165" i="5" s="1"/>
  <c r="H165" i="5" l="1"/>
  <c r="I165" i="5" l="1"/>
  <c r="M165" i="5" s="1"/>
  <c r="J165" i="5" l="1"/>
  <c r="C166" i="5" s="1"/>
  <c r="K165" i="5"/>
  <c r="F166" i="5" s="1"/>
  <c r="L165" i="5" l="1"/>
  <c r="D166" i="5" s="1"/>
  <c r="E166" i="5" s="1"/>
  <c r="H166" i="5" l="1"/>
  <c r="I166" i="5" l="1"/>
  <c r="M166" i="5" s="1"/>
  <c r="J166" i="5" l="1"/>
  <c r="C167" i="5" s="1"/>
  <c r="K166" i="5"/>
  <c r="F167" i="5" s="1"/>
  <c r="L166" i="5" l="1"/>
  <c r="D167" i="5" s="1"/>
  <c r="E167" i="5" s="1"/>
  <c r="H167" i="5" s="1"/>
  <c r="I167" i="5" l="1"/>
  <c r="M167" i="5" s="1"/>
  <c r="J167" i="5" l="1"/>
  <c r="C168" i="5" s="1"/>
  <c r="K167" i="5"/>
  <c r="F168" i="5" s="1"/>
  <c r="L167" i="5" l="1"/>
  <c r="D168" i="5" s="1"/>
  <c r="E168" i="5" s="1"/>
  <c r="H168" i="5" l="1"/>
  <c r="I168" i="5" s="1"/>
  <c r="M168" i="5" s="1"/>
  <c r="K168" i="5" l="1"/>
  <c r="F169" i="5" s="1"/>
  <c r="J168" i="5"/>
  <c r="C169" i="5" s="1"/>
  <c r="L168" i="5" l="1"/>
  <c r="D169" i="5" s="1"/>
  <c r="E169" i="5" s="1"/>
  <c r="H169" i="5" l="1"/>
  <c r="I169" i="5" l="1"/>
  <c r="M169" i="5" s="1"/>
  <c r="K169" i="5" l="1"/>
  <c r="F170" i="5" s="1"/>
  <c r="J169" i="5"/>
  <c r="L169" i="5" l="1"/>
  <c r="D170" i="5" s="1"/>
  <c r="C170" i="5"/>
  <c r="E170" i="5" l="1"/>
  <c r="H170" i="5" s="1"/>
  <c r="I170" i="5" s="1"/>
  <c r="M170" i="5" s="1"/>
  <c r="K170" i="5" l="1"/>
  <c r="F171" i="5" s="1"/>
  <c r="J170" i="5"/>
  <c r="C171" i="5" s="1"/>
  <c r="L170" i="5" l="1"/>
  <c r="D171" i="5" s="1"/>
  <c r="E171" i="5" s="1"/>
  <c r="H171" i="5" s="1"/>
  <c r="I171" i="5" s="1"/>
  <c r="M171" i="5" s="1"/>
  <c r="K171" i="5" l="1"/>
  <c r="F172" i="5" s="1"/>
  <c r="J171" i="5"/>
  <c r="C172" i="5" s="1"/>
  <c r="L171" i="5" l="1"/>
  <c r="D172" i="5" s="1"/>
  <c r="E172" i="5" s="1"/>
  <c r="H172" i="5" l="1"/>
  <c r="I172" i="5" s="1"/>
  <c r="M172" i="5" s="1"/>
  <c r="K172" i="5" l="1"/>
  <c r="F173" i="5" s="1"/>
  <c r="J172" i="5"/>
  <c r="C173" i="5" s="1"/>
  <c r="L172" i="5" l="1"/>
  <c r="D173" i="5" s="1"/>
  <c r="E173" i="5" s="1"/>
  <c r="H173" i="5" l="1"/>
  <c r="I173" i="5" l="1"/>
  <c r="M173" i="5" s="1"/>
  <c r="K173" i="5" l="1"/>
  <c r="F174" i="5" s="1"/>
  <c r="J173" i="5"/>
  <c r="C174" i="5" s="1"/>
  <c r="L173" i="5" l="1"/>
  <c r="D174" i="5" s="1"/>
  <c r="E174" i="5" s="1"/>
  <c r="H174" i="5" l="1"/>
  <c r="I174" i="5" s="1"/>
  <c r="M174" i="5" l="1"/>
  <c r="K174" i="5"/>
  <c r="F175" i="5" s="1"/>
  <c r="J174" i="5"/>
  <c r="C175" i="5" s="1"/>
  <c r="L174" i="5" l="1"/>
  <c r="D175" i="5" s="1"/>
  <c r="E175" i="5" s="1"/>
  <c r="H175" i="5" s="1"/>
  <c r="I175" i="5" l="1"/>
  <c r="M175" i="5" s="1"/>
  <c r="J175" i="5" l="1"/>
  <c r="C176" i="5" s="1"/>
  <c r="K175" i="5"/>
  <c r="F176" i="5" s="1"/>
  <c r="L175" i="5" l="1"/>
  <c r="D176" i="5" s="1"/>
  <c r="E176" i="5" s="1"/>
  <c r="H176" i="5" l="1"/>
  <c r="I176" i="5" l="1"/>
  <c r="M176" i="5" s="1"/>
  <c r="J176" i="5" l="1"/>
  <c r="C177" i="5" s="1"/>
  <c r="K176" i="5"/>
  <c r="F177" i="5" s="1"/>
  <c r="L176" i="5" l="1"/>
  <c r="D177" i="5" s="1"/>
  <c r="E177" i="5" s="1"/>
  <c r="H177" i="5" l="1"/>
  <c r="I177" i="5" l="1"/>
  <c r="M177" i="5" s="1"/>
  <c r="J177" i="5" l="1"/>
  <c r="C178" i="5" s="1"/>
  <c r="K177" i="5"/>
  <c r="F178" i="5" s="1"/>
  <c r="L177" i="5" l="1"/>
  <c r="D178" i="5" s="1"/>
  <c r="E178" i="5" s="1"/>
  <c r="H178" i="5" l="1"/>
  <c r="I178" i="5" l="1"/>
  <c r="J178" i="5" l="1"/>
  <c r="C179" i="5" s="1"/>
  <c r="M178" i="5"/>
  <c r="K178" i="5"/>
  <c r="F179" i="5" s="1"/>
  <c r="L178" i="5" l="1"/>
  <c r="D179" i="5" s="1"/>
  <c r="E179" i="5" s="1"/>
  <c r="H179" i="5" l="1"/>
  <c r="I179" i="5" l="1"/>
  <c r="M179" i="5" s="1"/>
  <c r="J179" i="5" l="1"/>
  <c r="C180" i="5" s="1"/>
  <c r="K179" i="5"/>
  <c r="F180" i="5" s="1"/>
  <c r="L179" i="5" l="1"/>
  <c r="D180" i="5" s="1"/>
  <c r="E180" i="5" s="1"/>
  <c r="H180" i="5" l="1"/>
  <c r="I180" i="5" l="1"/>
  <c r="M180" i="5" s="1"/>
  <c r="J180" i="5" l="1"/>
  <c r="C181" i="5" s="1"/>
  <c r="K180" i="5"/>
  <c r="F181" i="5" s="1"/>
  <c r="L180" i="5" l="1"/>
  <c r="D181" i="5" s="1"/>
  <c r="E181" i="5" s="1"/>
  <c r="H181" i="5" l="1"/>
  <c r="I181" i="5" l="1"/>
  <c r="M181" i="5" l="1"/>
  <c r="J181" i="5"/>
  <c r="C182" i="5" s="1"/>
  <c r="K181" i="5"/>
  <c r="F182" i="5" s="1"/>
  <c r="L181" i="5" l="1"/>
  <c r="D182" i="5" s="1"/>
  <c r="E182" i="5" s="1"/>
  <c r="H182" i="5" l="1"/>
  <c r="I182" i="5" l="1"/>
  <c r="M182" i="5" s="1"/>
  <c r="K182" i="5" l="1"/>
  <c r="F183" i="5" s="1"/>
  <c r="J182" i="5"/>
  <c r="C183" i="5" s="1"/>
  <c r="L182" i="5" l="1"/>
  <c r="D183" i="5" s="1"/>
  <c r="E183" i="5" s="1"/>
  <c r="H183" i="5" l="1"/>
  <c r="I183" i="5" s="1"/>
  <c r="M183" i="5" s="1"/>
  <c r="K183" i="5" l="1"/>
  <c r="F184" i="5" s="1"/>
  <c r="J183" i="5"/>
  <c r="C184" i="5" s="1"/>
  <c r="L183" i="5" l="1"/>
  <c r="D184" i="5" s="1"/>
  <c r="E184" i="5" s="1"/>
  <c r="H184" i="5" l="1"/>
  <c r="I184" i="5" l="1"/>
  <c r="M184" i="5" s="1"/>
  <c r="K184" i="5" l="1"/>
  <c r="F185" i="5" s="1"/>
  <c r="J184" i="5"/>
  <c r="C185" i="5" s="1"/>
  <c r="L184" i="5" l="1"/>
  <c r="D185" i="5" s="1"/>
  <c r="E185" i="5" s="1"/>
  <c r="H185" i="5" l="1"/>
  <c r="I185" i="5" s="1"/>
  <c r="M185" i="5" s="1"/>
  <c r="K185" i="5" l="1"/>
  <c r="F186" i="5" s="1"/>
  <c r="J185" i="5"/>
  <c r="C186" i="5" s="1"/>
  <c r="L185" i="5" l="1"/>
  <c r="D186" i="5" s="1"/>
  <c r="E186" i="5" s="1"/>
  <c r="H186" i="5" l="1"/>
  <c r="I186" i="5" l="1"/>
  <c r="M186" i="5" s="1"/>
  <c r="J186" i="5" l="1"/>
  <c r="C187" i="5" s="1"/>
  <c r="K186" i="5"/>
  <c r="F187" i="5" s="1"/>
  <c r="L186" i="5" l="1"/>
  <c r="D187" i="5" s="1"/>
  <c r="E187" i="5" s="1"/>
  <c r="H187" i="5" l="1"/>
  <c r="I187" i="5" l="1"/>
  <c r="M187" i="5" s="1"/>
  <c r="K187" i="5" l="1"/>
  <c r="F188" i="5" s="1"/>
  <c r="J187" i="5"/>
  <c r="C188" i="5" s="1"/>
  <c r="L187" i="5" l="1"/>
  <c r="D188" i="5" s="1"/>
  <c r="E188" i="5" s="1"/>
  <c r="H188" i="5" s="1"/>
  <c r="I188" i="5" l="1"/>
  <c r="M188" i="5" l="1"/>
  <c r="K188" i="5"/>
  <c r="F189" i="5" s="1"/>
  <c r="J188" i="5"/>
  <c r="C189" i="5" s="1"/>
  <c r="L188" i="5" l="1"/>
  <c r="D189" i="5" s="1"/>
  <c r="E189" i="5" s="1"/>
  <c r="H189" i="5" l="1"/>
  <c r="I189" i="5" l="1"/>
  <c r="M189" i="5" s="1"/>
  <c r="K189" i="5" l="1"/>
  <c r="F190" i="5" s="1"/>
  <c r="J189" i="5"/>
  <c r="C190" i="5" s="1"/>
  <c r="L189" i="5" l="1"/>
  <c r="D190" i="5" s="1"/>
  <c r="E190" i="5" s="1"/>
  <c r="H190" i="5" l="1"/>
  <c r="I190" i="5" s="1"/>
  <c r="M190" i="5" s="1"/>
  <c r="K190" i="5" l="1"/>
  <c r="F191" i="5" s="1"/>
  <c r="J190" i="5"/>
  <c r="C191" i="5" s="1"/>
  <c r="L190" i="5" l="1"/>
  <c r="D191" i="5" s="1"/>
  <c r="E191" i="5" s="1"/>
  <c r="H191" i="5" l="1"/>
  <c r="I191" i="5" l="1"/>
  <c r="M191" i="5" s="1"/>
  <c r="J191" i="5" l="1"/>
  <c r="C192" i="5" s="1"/>
  <c r="K191" i="5"/>
  <c r="F192" i="5" s="1"/>
  <c r="L191" i="5" l="1"/>
  <c r="D192" i="5" s="1"/>
  <c r="E192" i="5" s="1"/>
  <c r="H192" i="5" s="1"/>
  <c r="I192" i="5" l="1"/>
  <c r="J192" i="5" s="1"/>
  <c r="C193" i="5" s="1"/>
  <c r="K192" i="5" l="1"/>
  <c r="F193" i="5" s="1"/>
  <c r="M192" i="5"/>
  <c r="L192" i="5" l="1"/>
  <c r="D193" i="5" s="1"/>
  <c r="E193" i="5" s="1"/>
  <c r="H193" i="5" l="1"/>
  <c r="I193" i="5" l="1"/>
  <c r="K193" i="5" s="1"/>
  <c r="F194" i="5" s="1"/>
  <c r="M193" i="5" l="1"/>
  <c r="J193" i="5"/>
  <c r="L193" i="5" l="1"/>
  <c r="D194" i="5" s="1"/>
  <c r="C194" i="5"/>
  <c r="E194" i="5" l="1"/>
  <c r="H194" i="5" s="1"/>
  <c r="I194" i="5" s="1"/>
  <c r="M194" i="5" s="1"/>
  <c r="K194" i="5" l="1"/>
  <c r="F195" i="5" s="1"/>
  <c r="J194" i="5"/>
  <c r="C195" i="5" s="1"/>
  <c r="L194" i="5" l="1"/>
  <c r="D195" i="5" s="1"/>
  <c r="E195" i="5" s="1"/>
  <c r="H195" i="5" l="1"/>
  <c r="I195" i="5" l="1"/>
  <c r="M195" i="5" s="1"/>
  <c r="K195" i="5" l="1"/>
  <c r="F196" i="5" s="1"/>
  <c r="J195" i="5"/>
  <c r="C196" i="5" s="1"/>
  <c r="L195" i="5" l="1"/>
  <c r="D196" i="5" s="1"/>
  <c r="E196" i="5" s="1"/>
  <c r="H196" i="5" l="1"/>
  <c r="I196" i="5" s="1"/>
  <c r="M196" i="5" s="1"/>
  <c r="K196" i="5" l="1"/>
  <c r="F197" i="5" s="1"/>
  <c r="J196" i="5"/>
  <c r="C197" i="5" s="1"/>
  <c r="L196" i="5" l="1"/>
  <c r="D197" i="5" s="1"/>
  <c r="E197" i="5" s="1"/>
  <c r="H197" i="5" l="1"/>
  <c r="I197" i="5" s="1"/>
  <c r="M197" i="5" s="1"/>
  <c r="K197" i="5" l="1"/>
  <c r="F198" i="5" s="1"/>
  <c r="J197" i="5"/>
  <c r="C198" i="5" s="1"/>
  <c r="L197" i="5" l="1"/>
  <c r="D198" i="5" s="1"/>
  <c r="E198" i="5" s="1"/>
  <c r="H198" i="5" s="1"/>
  <c r="I198" i="5" l="1"/>
  <c r="M198" i="5" s="1"/>
  <c r="J198" i="5" l="1"/>
  <c r="C199" i="5" s="1"/>
  <c r="K198" i="5"/>
  <c r="F199" i="5" s="1"/>
  <c r="L198" i="5" l="1"/>
  <c r="D199" i="5" s="1"/>
  <c r="E199" i="5" s="1"/>
  <c r="H199" i="5" s="1"/>
  <c r="I199" i="5" l="1"/>
  <c r="M199" i="5" s="1"/>
  <c r="K199" i="5" l="1"/>
  <c r="F200" i="5" s="1"/>
  <c r="J199" i="5"/>
  <c r="C200" i="5" s="1"/>
  <c r="L199" i="5" l="1"/>
  <c r="D200" i="5" s="1"/>
  <c r="E200" i="5" s="1"/>
  <c r="H200" i="5" s="1"/>
  <c r="I200" i="5" s="1"/>
  <c r="M200" i="5" s="1"/>
  <c r="K200" i="5" l="1"/>
  <c r="F201" i="5" s="1"/>
  <c r="J200" i="5"/>
  <c r="C201" i="5" s="1"/>
  <c r="L200" i="5" l="1"/>
  <c r="D201" i="5" s="1"/>
  <c r="E201" i="5" s="1"/>
  <c r="H201" i="5" l="1"/>
  <c r="I201" i="5" l="1"/>
  <c r="M201" i="5" s="1"/>
  <c r="K201" i="5" l="1"/>
  <c r="F202" i="5" s="1"/>
  <c r="J201" i="5"/>
  <c r="C202" i="5" s="1"/>
  <c r="L201" i="5" l="1"/>
  <c r="D202" i="5" s="1"/>
  <c r="E202" i="5" s="1"/>
  <c r="H202" i="5" l="1"/>
  <c r="I202" i="5" l="1"/>
  <c r="M202" i="5" s="1"/>
  <c r="K202" i="5" l="1"/>
  <c r="F203" i="5" s="1"/>
  <c r="J202" i="5"/>
  <c r="C203" i="5" s="1"/>
  <c r="L202" i="5" l="1"/>
  <c r="D203" i="5" s="1"/>
  <c r="E203" i="5" s="1"/>
  <c r="H203" i="5" l="1"/>
  <c r="I203" i="5" l="1"/>
  <c r="M203" i="5" l="1"/>
  <c r="J203" i="5"/>
  <c r="C204" i="5" s="1"/>
  <c r="K203" i="5"/>
  <c r="F204" i="5" s="1"/>
  <c r="L203" i="5" l="1"/>
  <c r="D204" i="5" s="1"/>
  <c r="E204" i="5" s="1"/>
  <c r="H204" i="5" l="1"/>
  <c r="I204" i="5" l="1"/>
  <c r="M204" i="5" s="1"/>
  <c r="K204" i="5" l="1"/>
  <c r="F205" i="5" s="1"/>
  <c r="J204" i="5"/>
  <c r="L204" i="5" l="1"/>
  <c r="D205" i="5" s="1"/>
  <c r="C205" i="5"/>
  <c r="E205" i="5" l="1"/>
  <c r="H205" i="5" s="1"/>
  <c r="I205" i="5" l="1"/>
  <c r="M205" i="5" l="1"/>
  <c r="K205" i="5"/>
  <c r="F206" i="5" s="1"/>
  <c r="J205" i="5"/>
  <c r="C206" i="5" l="1"/>
  <c r="L205" i="5"/>
  <c r="D206" i="5" s="1"/>
  <c r="E206" i="5" l="1"/>
  <c r="H206" i="5" l="1"/>
  <c r="I206" i="5" l="1"/>
  <c r="M206" i="5" s="1"/>
  <c r="K206" i="5" l="1"/>
  <c r="F207" i="5" s="1"/>
  <c r="J206" i="5"/>
  <c r="C207" i="5" s="1"/>
  <c r="L206" i="5" l="1"/>
  <c r="D207" i="5" s="1"/>
  <c r="E207" i="5" s="1"/>
  <c r="H207" i="5" s="1"/>
  <c r="I207" i="5" s="1"/>
  <c r="M207" i="5" s="1"/>
  <c r="J207" i="5" l="1"/>
  <c r="C208" i="5" s="1"/>
  <c r="K207" i="5"/>
  <c r="F208" i="5" s="1"/>
  <c r="L207" i="5" l="1"/>
  <c r="D208" i="5" s="1"/>
  <c r="E208" i="5" s="1"/>
  <c r="H208" i="5" s="1"/>
  <c r="I208" i="5" l="1"/>
  <c r="M208" i="5" s="1"/>
  <c r="J208" i="5" l="1"/>
  <c r="K208" i="5"/>
  <c r="F209" i="5" s="1"/>
  <c r="C209" i="5" l="1"/>
  <c r="L208" i="5"/>
  <c r="D209" i="5" s="1"/>
  <c r="E209" i="5" l="1"/>
  <c r="H209" i="5" l="1"/>
  <c r="I209" i="5" l="1"/>
  <c r="M209" i="5" s="1"/>
  <c r="K209" i="5" l="1"/>
  <c r="F210" i="5" s="1"/>
  <c r="J209" i="5"/>
  <c r="C210" i="5" l="1"/>
  <c r="L209" i="5"/>
  <c r="D210" i="5" s="1"/>
  <c r="E210" i="5" l="1"/>
  <c r="H210" i="5" s="1"/>
  <c r="I210" i="5" l="1"/>
  <c r="M210" i="5" s="1"/>
  <c r="J210" i="5" l="1"/>
  <c r="K210" i="5"/>
  <c r="F211" i="5" s="1"/>
  <c r="C211" i="5" l="1"/>
  <c r="L210" i="5"/>
  <c r="D211" i="5" s="1"/>
  <c r="E211" i="5" l="1"/>
  <c r="H211" i="5" s="1"/>
  <c r="I211" i="5" s="1"/>
  <c r="M211" i="5" s="1"/>
  <c r="J211" i="5" l="1"/>
  <c r="C212" i="5" s="1"/>
  <c r="K211" i="5"/>
  <c r="F212" i="5" s="1"/>
  <c r="L211" i="5" l="1"/>
  <c r="D212" i="5" s="1"/>
  <c r="E212" i="5" s="1"/>
  <c r="H212" i="5" s="1"/>
  <c r="I212" i="5" s="1"/>
  <c r="M212" i="5" s="1"/>
  <c r="K212" i="5" l="1"/>
  <c r="F213" i="5" s="1"/>
  <c r="J212" i="5"/>
  <c r="C213" i="5" l="1"/>
  <c r="L212" i="5"/>
  <c r="D213" i="5" s="1"/>
  <c r="E213" i="5" l="1"/>
  <c r="H213" i="5" s="1"/>
  <c r="I213" i="5" s="1"/>
  <c r="M213" i="5" s="1"/>
  <c r="K213" i="5" l="1"/>
  <c r="F214" i="5" s="1"/>
  <c r="J213" i="5"/>
  <c r="C214" i="5" l="1"/>
  <c r="L213" i="5"/>
  <c r="D214" i="5" s="1"/>
  <c r="E214" i="5" l="1"/>
  <c r="H214" i="5" s="1"/>
  <c r="I214" i="5" s="1"/>
  <c r="M214" i="5" s="1"/>
  <c r="K214" i="5" l="1"/>
  <c r="F215" i="5" s="1"/>
  <c r="J214" i="5"/>
  <c r="C215" i="5" s="1"/>
  <c r="L214" i="5" l="1"/>
  <c r="D215" i="5" s="1"/>
  <c r="E215" i="5" s="1"/>
  <c r="H215" i="5" s="1"/>
  <c r="I215" i="5" l="1"/>
  <c r="M215" i="5" s="1"/>
  <c r="K215" i="5" l="1"/>
  <c r="F216" i="5" s="1"/>
  <c r="J215" i="5"/>
  <c r="C216" i="5" s="1"/>
  <c r="L215" i="5" l="1"/>
  <c r="D216" i="5" s="1"/>
  <c r="E216" i="5" s="1"/>
  <c r="H216" i="5" s="1"/>
  <c r="I216" i="5" s="1"/>
  <c r="M216" i="5" s="1"/>
  <c r="K216" i="5" l="1"/>
  <c r="F217" i="5" s="1"/>
  <c r="J216" i="5"/>
  <c r="C217" i="5" s="1"/>
  <c r="L216" i="5" l="1"/>
  <c r="D217" i="5" s="1"/>
  <c r="E217" i="5" s="1"/>
  <c r="H217" i="5" l="1"/>
  <c r="I217" i="5" l="1"/>
  <c r="M217" i="5" s="1"/>
  <c r="K217" i="5" l="1"/>
  <c r="F218" i="5" s="1"/>
  <c r="J217" i="5"/>
  <c r="C218" i="5" s="1"/>
  <c r="L217" i="5" l="1"/>
  <c r="D218" i="5" s="1"/>
  <c r="E218" i="5" s="1"/>
  <c r="H218" i="5" l="1"/>
  <c r="I218" i="5" l="1"/>
  <c r="M218" i="5" s="1"/>
  <c r="J218" i="5" l="1"/>
  <c r="C219" i="5" s="1"/>
  <c r="K218" i="5"/>
  <c r="F219" i="5" s="1"/>
  <c r="L218" i="5" l="1"/>
  <c r="D219" i="5" s="1"/>
  <c r="E219" i="5" s="1"/>
  <c r="H219" i="5" l="1"/>
  <c r="I219" i="5" l="1"/>
  <c r="M219" i="5" s="1"/>
  <c r="J219" i="5" l="1"/>
  <c r="C220" i="5" s="1"/>
  <c r="K219" i="5"/>
  <c r="F220" i="5" s="1"/>
  <c r="L219" i="5" l="1"/>
  <c r="D220" i="5" s="1"/>
  <c r="E220" i="5" s="1"/>
  <c r="H220" i="5" l="1"/>
  <c r="I220" i="5" l="1"/>
  <c r="M220" i="5" s="1"/>
  <c r="K220" i="5" l="1"/>
  <c r="F221" i="5" s="1"/>
  <c r="J220" i="5"/>
  <c r="C221" i="5" s="1"/>
  <c r="L220" i="5" l="1"/>
  <c r="D221" i="5" s="1"/>
  <c r="E221" i="5" s="1"/>
  <c r="H221" i="5" l="1"/>
  <c r="I221" i="5" l="1"/>
  <c r="M221" i="5" s="1"/>
  <c r="K221" i="5" l="1"/>
  <c r="F222" i="5" s="1"/>
  <c r="J221" i="5"/>
  <c r="C222" i="5" s="1"/>
  <c r="L221" i="5" l="1"/>
  <c r="D222" i="5" s="1"/>
  <c r="E222" i="5" s="1"/>
  <c r="H222" i="5" l="1"/>
  <c r="I222" i="5" l="1"/>
  <c r="M222" i="5" s="1"/>
  <c r="K222" i="5" l="1"/>
  <c r="F223" i="5" s="1"/>
  <c r="J222" i="5"/>
  <c r="C223" i="5" s="1"/>
  <c r="L222" i="5" l="1"/>
  <c r="D223" i="5" s="1"/>
  <c r="E223" i="5" s="1"/>
  <c r="H223" i="5" s="1"/>
  <c r="I223" i="5" l="1"/>
  <c r="J223" i="5" s="1"/>
  <c r="C224" i="5" s="1"/>
  <c r="K223" i="5" l="1"/>
  <c r="F224" i="5" s="1"/>
  <c r="M223" i="5"/>
  <c r="L223" i="5" l="1"/>
  <c r="D224" i="5" s="1"/>
  <c r="E224" i="5" s="1"/>
  <c r="H224" i="5" l="1"/>
  <c r="I224" i="5" l="1"/>
  <c r="M224" i="5" s="1"/>
  <c r="K224" i="5" l="1"/>
  <c r="F225" i="5" s="1"/>
  <c r="J224" i="5"/>
  <c r="C225" i="5" s="1"/>
  <c r="L224" i="5" l="1"/>
  <c r="D225" i="5" s="1"/>
  <c r="E225" i="5" s="1"/>
  <c r="H225" i="5" l="1"/>
  <c r="I225" i="5" l="1"/>
  <c r="M225" i="5" s="1"/>
  <c r="K225" i="5" l="1"/>
  <c r="F226" i="5" s="1"/>
  <c r="J225" i="5"/>
  <c r="C226" i="5" s="1"/>
  <c r="L225" i="5" l="1"/>
  <c r="D226" i="5" s="1"/>
  <c r="E226" i="5" s="1"/>
  <c r="H226" i="5" s="1"/>
  <c r="I226" i="5" l="1"/>
  <c r="M226" i="5" s="1"/>
  <c r="J226" i="5" l="1"/>
  <c r="C227" i="5" s="1"/>
  <c r="K226" i="5"/>
  <c r="F227" i="5" s="1"/>
  <c r="L226" i="5" l="1"/>
  <c r="D227" i="5" s="1"/>
  <c r="E227" i="5" s="1"/>
  <c r="H227" i="5" l="1"/>
  <c r="I227" i="5" s="1"/>
  <c r="M227" i="5" s="1"/>
  <c r="K227" i="5" l="1"/>
  <c r="F228" i="5" s="1"/>
  <c r="J227" i="5"/>
  <c r="C228" i="5" s="1"/>
  <c r="L227" i="5" l="1"/>
  <c r="D228" i="5" s="1"/>
  <c r="E228" i="5" s="1"/>
  <c r="H228" i="5" s="1"/>
  <c r="I228" i="5" l="1"/>
  <c r="J228" i="5" l="1"/>
  <c r="C229" i="5" s="1"/>
  <c r="M228" i="5"/>
  <c r="K228" i="5"/>
  <c r="F229" i="5" s="1"/>
  <c r="L228" i="5" l="1"/>
  <c r="D229" i="5" s="1"/>
  <c r="E229" i="5" s="1"/>
  <c r="H229" i="5" l="1"/>
  <c r="I229" i="5" s="1"/>
  <c r="M229" i="5" s="1"/>
  <c r="K229" i="5" l="1"/>
  <c r="F230" i="5" s="1"/>
  <c r="J229" i="5"/>
  <c r="C230" i="5" s="1"/>
  <c r="L229" i="5" l="1"/>
  <c r="D230" i="5" s="1"/>
  <c r="E230" i="5" s="1"/>
  <c r="H230" i="5" l="1"/>
  <c r="I230" i="5" l="1"/>
  <c r="M230" i="5" s="1"/>
  <c r="K230" i="5" l="1"/>
  <c r="F231" i="5" s="1"/>
  <c r="J230" i="5"/>
  <c r="C231" i="5" s="1"/>
  <c r="L230" i="5" l="1"/>
  <c r="D231" i="5" s="1"/>
  <c r="E231" i="5" s="1"/>
  <c r="H231" i="5" l="1"/>
  <c r="I231" i="5" l="1"/>
  <c r="M231" i="5" s="1"/>
  <c r="J231" i="5" l="1"/>
  <c r="C232" i="5" s="1"/>
  <c r="K231" i="5"/>
  <c r="F232" i="5" s="1"/>
  <c r="L231" i="5" l="1"/>
  <c r="D232" i="5" s="1"/>
  <c r="E232" i="5" s="1"/>
  <c r="H232" i="5" l="1"/>
  <c r="I232" i="5" l="1"/>
  <c r="M232" i="5" s="1"/>
  <c r="K232" i="5" l="1"/>
  <c r="F233" i="5" s="1"/>
  <c r="J232" i="5"/>
  <c r="C233" i="5" s="1"/>
  <c r="L232" i="5" l="1"/>
  <c r="D233" i="5" s="1"/>
  <c r="E233" i="5" s="1"/>
  <c r="H233" i="5" s="1"/>
  <c r="I233" i="5" l="1"/>
  <c r="J233" i="5" s="1"/>
  <c r="C234" i="5" s="1"/>
  <c r="M233" i="5" l="1"/>
  <c r="K233" i="5"/>
  <c r="F234" i="5" s="1"/>
  <c r="L233" i="5" l="1"/>
  <c r="D234" i="5" s="1"/>
  <c r="E234" i="5" s="1"/>
  <c r="H234" i="5" l="1"/>
  <c r="I234" i="5" l="1"/>
  <c r="M234" i="5" s="1"/>
  <c r="K234" i="5" l="1"/>
  <c r="F235" i="5" s="1"/>
  <c r="J234" i="5"/>
  <c r="C235" i="5" s="1"/>
  <c r="L234" i="5" l="1"/>
  <c r="D235" i="5" s="1"/>
  <c r="E235" i="5" s="1"/>
  <c r="H235" i="5" l="1"/>
  <c r="I235" i="5" l="1"/>
  <c r="M235" i="5" s="1"/>
  <c r="J235" i="5" l="1"/>
  <c r="C236" i="5" s="1"/>
  <c r="K235" i="5"/>
  <c r="F236" i="5" s="1"/>
  <c r="L235" i="5" l="1"/>
  <c r="D236" i="5" s="1"/>
  <c r="E236" i="5" s="1"/>
  <c r="H236" i="5" l="1"/>
  <c r="I236" i="5" l="1"/>
  <c r="M236" i="5" s="1"/>
  <c r="K236" i="5" l="1"/>
  <c r="F237" i="5" s="1"/>
  <c r="J236" i="5"/>
  <c r="C237" i="5" s="1"/>
  <c r="L236" i="5" l="1"/>
  <c r="D237" i="5" s="1"/>
  <c r="E237" i="5" s="1"/>
  <c r="H237" i="5" s="1"/>
  <c r="I237" i="5" l="1"/>
  <c r="M237" i="5" s="1"/>
  <c r="J237" i="5" l="1"/>
  <c r="C238" i="5" s="1"/>
  <c r="K237" i="5"/>
  <c r="F238" i="5" s="1"/>
  <c r="L237" i="5" l="1"/>
  <c r="D238" i="5" s="1"/>
  <c r="E238" i="5" s="1"/>
  <c r="H238" i="5" l="1"/>
  <c r="I238" i="5" l="1"/>
  <c r="M238" i="5" l="1"/>
  <c r="J238" i="5"/>
  <c r="C239" i="5" s="1"/>
  <c r="K238" i="5"/>
  <c r="F239" i="5" s="1"/>
  <c r="L238" i="5" l="1"/>
  <c r="D239" i="5" s="1"/>
  <c r="E239" i="5" s="1"/>
  <c r="H239" i="5" l="1"/>
  <c r="I239" i="5" l="1"/>
  <c r="M239" i="5" s="1"/>
  <c r="K239" i="5" l="1"/>
  <c r="F240" i="5" s="1"/>
  <c r="J239" i="5"/>
  <c r="C240" i="5" s="1"/>
  <c r="L239" i="5" l="1"/>
  <c r="D240" i="5" s="1"/>
  <c r="E240" i="5" s="1"/>
  <c r="H240" i="5" s="1"/>
  <c r="I240" i="5" l="1"/>
  <c r="J240" i="5" l="1"/>
  <c r="C241" i="5" s="1"/>
  <c r="M240" i="5"/>
  <c r="K240" i="5"/>
  <c r="F241" i="5" s="1"/>
  <c r="L240" i="5" l="1"/>
  <c r="D241" i="5" s="1"/>
  <c r="E241" i="5" s="1"/>
  <c r="H241" i="5" l="1"/>
  <c r="I241" i="5" s="1"/>
  <c r="M241" i="5" s="1"/>
  <c r="K241" i="5" l="1"/>
  <c r="F242" i="5" s="1"/>
  <c r="J241" i="5"/>
  <c r="C242" i="5" s="1"/>
  <c r="L241" i="5" l="1"/>
  <c r="D242" i="5" s="1"/>
  <c r="E242" i="5" s="1"/>
  <c r="H242" i="5" s="1"/>
  <c r="I242" i="5" l="1"/>
  <c r="M242" i="5" s="1"/>
  <c r="J242" i="5" l="1"/>
  <c r="C243" i="5" s="1"/>
  <c r="K242" i="5"/>
  <c r="F243" i="5" s="1"/>
  <c r="L242" i="5" l="1"/>
  <c r="D243" i="5" s="1"/>
  <c r="E243" i="5" s="1"/>
  <c r="H243" i="5" l="1"/>
  <c r="I243" i="5" l="1"/>
  <c r="M243" i="5" s="1"/>
  <c r="J243" i="5" l="1"/>
  <c r="C244" i="5" s="1"/>
  <c r="K243" i="5"/>
  <c r="F244" i="5" s="1"/>
  <c r="L243" i="5" l="1"/>
  <c r="D244" i="5" s="1"/>
  <c r="E244" i="5" s="1"/>
  <c r="H244" i="5" s="1"/>
  <c r="I244" i="5" l="1"/>
  <c r="J244" i="5" s="1"/>
  <c r="C245" i="5" s="1"/>
  <c r="M244" i="5" l="1"/>
  <c r="K244" i="5"/>
  <c r="F245" i="5" s="1"/>
  <c r="L244" i="5" l="1"/>
  <c r="D245" i="5" s="1"/>
  <c r="E245" i="5" s="1"/>
  <c r="H245" i="5" s="1"/>
  <c r="I245" i="5" l="1"/>
  <c r="M245" i="5" s="1"/>
  <c r="J245" i="5" l="1"/>
  <c r="C246" i="5" s="1"/>
  <c r="K245" i="5"/>
  <c r="F246" i="5" s="1"/>
  <c r="L245" i="5" l="1"/>
  <c r="D246" i="5" s="1"/>
  <c r="E246" i="5" s="1"/>
  <c r="H246" i="5" l="1"/>
  <c r="I246" i="5" l="1"/>
  <c r="M246" i="5" s="1"/>
  <c r="K246" i="5" l="1"/>
  <c r="F247" i="5" s="1"/>
  <c r="J246" i="5"/>
  <c r="C247" i="5" s="1"/>
  <c r="L246" i="5" l="1"/>
  <c r="D247" i="5" s="1"/>
  <c r="E247" i="5" s="1"/>
  <c r="H247" i="5" l="1"/>
  <c r="I247" i="5" s="1"/>
  <c r="M247" i="5" s="1"/>
  <c r="K247" i="5" l="1"/>
  <c r="F248" i="5" s="1"/>
  <c r="J247" i="5"/>
  <c r="C248" i="5" s="1"/>
  <c r="L247" i="5" l="1"/>
  <c r="D248" i="5" s="1"/>
  <c r="E248" i="5" s="1"/>
  <c r="H248" i="5" l="1"/>
  <c r="I248" i="5" l="1"/>
  <c r="J248" i="5" l="1"/>
  <c r="C249" i="5" s="1"/>
  <c r="M248" i="5"/>
  <c r="K248" i="5"/>
  <c r="F249" i="5" s="1"/>
  <c r="L248" i="5" l="1"/>
  <c r="D249" i="5" s="1"/>
  <c r="E249" i="5" s="1"/>
  <c r="H249" i="5" l="1"/>
  <c r="I249" i="5" l="1"/>
  <c r="M249" i="5" s="1"/>
  <c r="K249" i="5" l="1"/>
  <c r="F250" i="5" s="1"/>
  <c r="J249" i="5"/>
  <c r="C250" i="5" s="1"/>
  <c r="L249" i="5" l="1"/>
  <c r="D250" i="5" s="1"/>
  <c r="E250" i="5" s="1"/>
  <c r="H250" i="5" l="1"/>
  <c r="I250" i="5" l="1"/>
  <c r="M250" i="5" s="1"/>
  <c r="J250" i="5" l="1"/>
  <c r="C251" i="5" s="1"/>
  <c r="K250" i="5"/>
  <c r="F251" i="5" s="1"/>
  <c r="L250" i="5" l="1"/>
  <c r="D251" i="5" s="1"/>
  <c r="E251" i="5" s="1"/>
  <c r="H251" i="5" l="1"/>
  <c r="I251" i="5" l="1"/>
  <c r="M251" i="5" s="1"/>
  <c r="J251" i="5" l="1"/>
  <c r="C252" i="5" s="1"/>
  <c r="K251" i="5"/>
  <c r="F252" i="5" s="1"/>
  <c r="L251" i="5" l="1"/>
  <c r="D252" i="5" s="1"/>
  <c r="E252" i="5" s="1"/>
  <c r="H252" i="5" s="1"/>
  <c r="I252" i="5" l="1"/>
  <c r="M252" i="5" s="1"/>
  <c r="K252" i="5" l="1"/>
  <c r="F253" i="5" s="1"/>
  <c r="J252" i="5"/>
  <c r="C253" i="5" s="1"/>
  <c r="L252" i="5" l="1"/>
  <c r="D253" i="5" s="1"/>
  <c r="E253" i="5" s="1"/>
  <c r="H253" i="5" l="1"/>
  <c r="I253" i="5" l="1"/>
  <c r="M253" i="5" s="1"/>
  <c r="K253" i="5" l="1"/>
  <c r="F254" i="5" s="1"/>
  <c r="J253" i="5"/>
  <c r="C254" i="5" s="1"/>
  <c r="L253" i="5" l="1"/>
  <c r="D254" i="5" s="1"/>
  <c r="E254" i="5" s="1"/>
  <c r="H254" i="5" l="1"/>
  <c r="I254" i="5" l="1"/>
  <c r="M254" i="5" s="1"/>
  <c r="J254" i="5" l="1"/>
  <c r="C255" i="5" s="1"/>
  <c r="K254" i="5"/>
  <c r="F255" i="5" s="1"/>
  <c r="L254" i="5" l="1"/>
  <c r="D255" i="5" s="1"/>
  <c r="E255" i="5" s="1"/>
  <c r="H255" i="5" l="1"/>
  <c r="I255" i="5" l="1"/>
  <c r="M255" i="5" s="1"/>
  <c r="K255" i="5" l="1"/>
  <c r="F256" i="5" s="1"/>
  <c r="J255" i="5"/>
  <c r="C256" i="5" s="1"/>
  <c r="L255" i="5" l="1"/>
  <c r="D256" i="5" s="1"/>
  <c r="E256" i="5" s="1"/>
  <c r="H256" i="5" l="1"/>
  <c r="I256" i="5" l="1"/>
  <c r="J256" i="5" l="1"/>
  <c r="C257" i="5" s="1"/>
  <c r="M256" i="5"/>
  <c r="K256" i="5"/>
  <c r="F257" i="5" s="1"/>
  <c r="L256" i="5" l="1"/>
  <c r="D257" i="5" s="1"/>
  <c r="E257" i="5" s="1"/>
  <c r="H257" i="5" l="1"/>
  <c r="I257" i="5" l="1"/>
  <c r="M257" i="5" s="1"/>
  <c r="K257" i="5" l="1"/>
  <c r="F258" i="5" s="1"/>
  <c r="J257" i="5"/>
  <c r="C258" i="5" s="1"/>
  <c r="L257" i="5" l="1"/>
  <c r="D258" i="5" s="1"/>
  <c r="E258" i="5" s="1"/>
  <c r="H258" i="5" s="1"/>
  <c r="I258" i="5" l="1"/>
  <c r="M258" i="5" s="1"/>
  <c r="J258" i="5" l="1"/>
  <c r="C259" i="5" s="1"/>
  <c r="K258" i="5"/>
  <c r="F259" i="5" s="1"/>
  <c r="L258" i="5" l="1"/>
  <c r="D259" i="5" s="1"/>
  <c r="E259" i="5" s="1"/>
  <c r="H259" i="5" l="1"/>
  <c r="I259" i="5" l="1"/>
  <c r="M259" i="5" s="1"/>
  <c r="J259" i="5" l="1"/>
  <c r="C260" i="5" s="1"/>
  <c r="K259" i="5"/>
  <c r="F260" i="5" s="1"/>
  <c r="L259" i="5" l="1"/>
  <c r="D260" i="5" s="1"/>
  <c r="E260" i="5" s="1"/>
  <c r="H260" i="5" l="1"/>
  <c r="I260" i="5" l="1"/>
  <c r="M260" i="5" s="1"/>
  <c r="J260" i="5" l="1"/>
  <c r="C261" i="5" s="1"/>
  <c r="K260" i="5"/>
  <c r="F261" i="5" s="1"/>
  <c r="L260" i="5" l="1"/>
  <c r="D261" i="5" s="1"/>
  <c r="E261" i="5" s="1"/>
  <c r="H261" i="5" l="1"/>
  <c r="I261" i="5" s="1"/>
  <c r="M261" i="5" s="1"/>
  <c r="K261" i="5" l="1"/>
  <c r="F262" i="5" s="1"/>
  <c r="J261" i="5"/>
  <c r="C262" i="5" s="1"/>
  <c r="L261" i="5" l="1"/>
  <c r="D262" i="5" s="1"/>
  <c r="E262" i="5" s="1"/>
  <c r="H262" i="5" s="1"/>
  <c r="I262" i="5" l="1"/>
  <c r="J262" i="5" s="1"/>
  <c r="C263" i="5" s="1"/>
  <c r="M262" i="5" l="1"/>
  <c r="K262" i="5"/>
  <c r="F263" i="5" s="1"/>
  <c r="L262" i="5" l="1"/>
  <c r="D263" i="5" s="1"/>
  <c r="E263" i="5" s="1"/>
  <c r="H263" i="5" l="1"/>
  <c r="I263" i="5" l="1"/>
  <c r="M263" i="5" s="1"/>
  <c r="J263" i="5" l="1"/>
  <c r="C264" i="5" s="1"/>
  <c r="K263" i="5"/>
  <c r="F264" i="5" s="1"/>
  <c r="L263" i="5" l="1"/>
  <c r="D264" i="5" s="1"/>
  <c r="E264" i="5" s="1"/>
  <c r="H264" i="5" l="1"/>
  <c r="I264" i="5" l="1"/>
  <c r="M264" i="5" s="1"/>
  <c r="J264" i="5" l="1"/>
  <c r="C265" i="5" s="1"/>
  <c r="K264" i="5"/>
  <c r="F265" i="5" s="1"/>
  <c r="L264" i="5" l="1"/>
  <c r="D265" i="5" s="1"/>
  <c r="E265" i="5" s="1"/>
  <c r="H265" i="5" l="1"/>
  <c r="I265" i="5" l="1"/>
  <c r="M265" i="5" s="1"/>
  <c r="K265" i="5" l="1"/>
  <c r="F266" i="5" s="1"/>
  <c r="J265" i="5"/>
  <c r="C266" i="5" s="1"/>
  <c r="L265" i="5" l="1"/>
  <c r="D266" i="5" s="1"/>
  <c r="E266" i="5" s="1"/>
  <c r="H266" i="5" l="1"/>
  <c r="I266" i="5" l="1"/>
  <c r="M266" i="5" s="1"/>
  <c r="K266" i="5" l="1"/>
  <c r="F267" i="5" s="1"/>
  <c r="J266" i="5"/>
  <c r="C267" i="5" s="1"/>
  <c r="L266" i="5" l="1"/>
  <c r="D267" i="5" s="1"/>
  <c r="E267" i="5" s="1"/>
  <c r="H267" i="5" l="1"/>
  <c r="I267" i="5" l="1"/>
  <c r="M267" i="5" s="1"/>
  <c r="K267" i="5" l="1"/>
  <c r="F268" i="5" s="1"/>
  <c r="J267" i="5"/>
  <c r="C268" i="5" s="1"/>
  <c r="L267" i="5" l="1"/>
  <c r="D268" i="5" s="1"/>
  <c r="E268" i="5" s="1"/>
  <c r="H268" i="5" s="1"/>
  <c r="I268" i="5" l="1"/>
  <c r="M268" i="5" s="1"/>
  <c r="J268" i="5" l="1"/>
  <c r="C269" i="5" s="1"/>
  <c r="K268" i="5"/>
  <c r="F269" i="5" s="1"/>
  <c r="L268" i="5" l="1"/>
  <c r="D269" i="5" s="1"/>
  <c r="E269" i="5" s="1"/>
  <c r="H269" i="5" l="1"/>
  <c r="I269" i="5" l="1"/>
  <c r="M269" i="5" s="1"/>
  <c r="K269" i="5" l="1"/>
  <c r="F270" i="5" s="1"/>
  <c r="J269" i="5"/>
  <c r="C270" i="5" s="1"/>
  <c r="L269" i="5" l="1"/>
  <c r="D270" i="5" s="1"/>
  <c r="E270" i="5" s="1"/>
  <c r="H270" i="5" l="1"/>
  <c r="I270" i="5" l="1"/>
  <c r="M270" i="5" s="1"/>
  <c r="K270" i="5" l="1"/>
  <c r="F271" i="5" s="1"/>
  <c r="J270" i="5"/>
  <c r="C271" i="5" s="1"/>
  <c r="L270" i="5" l="1"/>
  <c r="D271" i="5" s="1"/>
  <c r="E271" i="5" s="1"/>
  <c r="H271" i="5" s="1"/>
  <c r="I271" i="5" l="1"/>
  <c r="J271" i="5" s="1"/>
  <c r="C272" i="5" s="1"/>
  <c r="M271" i="5" l="1"/>
  <c r="K271" i="5"/>
  <c r="F272" i="5" s="1"/>
  <c r="L271" i="5" l="1"/>
  <c r="D272" i="5" s="1"/>
  <c r="E272" i="5" s="1"/>
  <c r="H272" i="5" l="1"/>
  <c r="I272" i="5" l="1"/>
  <c r="J272" i="5" l="1"/>
  <c r="C273" i="5" s="1"/>
  <c r="M272" i="5"/>
  <c r="K272" i="5"/>
  <c r="F273" i="5" s="1"/>
  <c r="L272" i="5" l="1"/>
  <c r="D273" i="5" s="1"/>
  <c r="E273" i="5" s="1"/>
  <c r="H273" i="5" l="1"/>
  <c r="I273" i="5" s="1"/>
  <c r="M273" i="5" s="1"/>
  <c r="J273" i="5" l="1"/>
  <c r="C274" i="5" s="1"/>
  <c r="K273" i="5"/>
  <c r="F274" i="5" s="1"/>
  <c r="L273" i="5" l="1"/>
  <c r="D274" i="5" s="1"/>
  <c r="E274" i="5" s="1"/>
  <c r="H274" i="5" l="1"/>
  <c r="I274" i="5" l="1"/>
  <c r="M274" i="5" s="1"/>
  <c r="J274" i="5" l="1"/>
  <c r="C275" i="5" s="1"/>
  <c r="K274" i="5"/>
  <c r="F275" i="5" s="1"/>
  <c r="L274" i="5" l="1"/>
  <c r="D275" i="5" s="1"/>
  <c r="E275" i="5" s="1"/>
  <c r="H275" i="5" l="1"/>
  <c r="I275" i="5" l="1"/>
  <c r="M275" i="5" s="1"/>
  <c r="J275" i="5" l="1"/>
  <c r="C276" i="5" s="1"/>
  <c r="K275" i="5"/>
  <c r="F276" i="5" s="1"/>
  <c r="L275" i="5" l="1"/>
  <c r="D276" i="5" s="1"/>
  <c r="E276" i="5" s="1"/>
  <c r="H276" i="5" s="1"/>
  <c r="I276" i="5" l="1"/>
  <c r="M276" i="5" s="1"/>
  <c r="K276" i="5" l="1"/>
  <c r="F277" i="5" s="1"/>
  <c r="J276" i="5"/>
  <c r="C277" i="5" s="1"/>
  <c r="L276" i="5" l="1"/>
  <c r="D277" i="5" s="1"/>
  <c r="E277" i="5" s="1"/>
  <c r="H277" i="5" l="1"/>
  <c r="I277" i="5" l="1"/>
  <c r="M277" i="5" s="1"/>
  <c r="J277" i="5" l="1"/>
  <c r="C278" i="5" s="1"/>
  <c r="K277" i="5"/>
  <c r="F278" i="5" s="1"/>
  <c r="L277" i="5" l="1"/>
  <c r="D278" i="5" s="1"/>
  <c r="E278" i="5" s="1"/>
  <c r="H278" i="5" l="1"/>
  <c r="I278" i="5" l="1"/>
  <c r="M278" i="5" s="1"/>
  <c r="J278" i="5" l="1"/>
  <c r="C279" i="5" s="1"/>
  <c r="K278" i="5"/>
  <c r="F279" i="5" s="1"/>
  <c r="L278" i="5" l="1"/>
  <c r="D279" i="5" s="1"/>
  <c r="E279" i="5" s="1"/>
  <c r="H279" i="5" l="1"/>
  <c r="I279" i="5" s="1"/>
  <c r="M279" i="5" s="1"/>
  <c r="K279" i="5" l="1"/>
  <c r="F280" i="5" s="1"/>
  <c r="J279" i="5"/>
  <c r="C280" i="5" s="1"/>
  <c r="L279" i="5" l="1"/>
  <c r="D280" i="5" s="1"/>
  <c r="E280" i="5" s="1"/>
  <c r="H280" i="5" s="1"/>
  <c r="I280" i="5" l="1"/>
  <c r="M280" i="5" l="1"/>
  <c r="K280" i="5"/>
  <c r="F281" i="5" s="1"/>
  <c r="J280" i="5"/>
  <c r="C281" i="5" s="1"/>
  <c r="L280" i="5" l="1"/>
  <c r="D281" i="5" s="1"/>
  <c r="E281" i="5" s="1"/>
  <c r="H281" i="5" l="1"/>
  <c r="I281" i="5" l="1"/>
  <c r="M281" i="5" l="1"/>
  <c r="K281" i="5"/>
  <c r="F282" i="5" s="1"/>
  <c r="J281" i="5"/>
  <c r="C282" i="5" s="1"/>
  <c r="L281" i="5" l="1"/>
  <c r="D282" i="5" s="1"/>
  <c r="E282" i="5" s="1"/>
  <c r="H282" i="5" l="1"/>
  <c r="I282" i="5" l="1"/>
  <c r="M282" i="5" s="1"/>
  <c r="J282" i="5" l="1"/>
  <c r="C283" i="5" s="1"/>
  <c r="K282" i="5"/>
  <c r="F283" i="5" s="1"/>
  <c r="L282" i="5" l="1"/>
  <c r="D283" i="5" s="1"/>
  <c r="E283" i="5" s="1"/>
  <c r="H283" i="5" l="1"/>
  <c r="I283" i="5" l="1"/>
  <c r="M283" i="5" s="1"/>
  <c r="J283" i="5" l="1"/>
  <c r="C284" i="5" s="1"/>
  <c r="K283" i="5"/>
  <c r="F284" i="5" s="1"/>
  <c r="L283" i="5" l="1"/>
  <c r="D284" i="5" s="1"/>
  <c r="E284" i="5" s="1"/>
  <c r="H284" i="5" l="1"/>
  <c r="I284" i="5" l="1"/>
  <c r="J284" i="5" l="1"/>
  <c r="C285" i="5" s="1"/>
  <c r="M284" i="5"/>
  <c r="K284" i="5"/>
  <c r="F285" i="5" s="1"/>
  <c r="L284" i="5" l="1"/>
  <c r="D285" i="5" s="1"/>
  <c r="E285" i="5" s="1"/>
  <c r="H285" i="5" l="1"/>
  <c r="I285" i="5" s="1"/>
  <c r="M285" i="5" s="1"/>
  <c r="K285" i="5" l="1"/>
  <c r="F286" i="5" s="1"/>
  <c r="J285" i="5"/>
  <c r="C286" i="5" s="1"/>
  <c r="L285" i="5" l="1"/>
  <c r="D286" i="5" s="1"/>
  <c r="E286" i="5" s="1"/>
  <c r="H286" i="5" s="1"/>
  <c r="I286" i="5" l="1"/>
  <c r="J286" i="5" s="1"/>
  <c r="C287" i="5" s="1"/>
  <c r="M286" i="5" l="1"/>
  <c r="K286" i="5"/>
  <c r="F287" i="5" s="1"/>
  <c r="L286" i="5" l="1"/>
  <c r="D287" i="5" s="1"/>
  <c r="E287" i="5" s="1"/>
  <c r="H287" i="5" s="1"/>
  <c r="I287" i="5" l="1"/>
  <c r="M287" i="5" s="1"/>
  <c r="K287" i="5" l="1"/>
  <c r="F288" i="5" s="1"/>
  <c r="J287" i="5"/>
  <c r="C288" i="5" s="1"/>
  <c r="L287" i="5" l="1"/>
  <c r="D288" i="5" s="1"/>
  <c r="E288" i="5" s="1"/>
  <c r="H288" i="5" l="1"/>
  <c r="I288" i="5" l="1"/>
  <c r="J288" i="5" l="1"/>
  <c r="C289" i="5" s="1"/>
  <c r="M288" i="5"/>
  <c r="K288" i="5"/>
  <c r="F289" i="5" s="1"/>
  <c r="L288" i="5" l="1"/>
  <c r="D289" i="5" s="1"/>
  <c r="E289" i="5" s="1"/>
  <c r="H289" i="5" l="1"/>
  <c r="I289" i="5" s="1"/>
  <c r="M289" i="5" s="1"/>
  <c r="J289" i="5" l="1"/>
  <c r="C290" i="5" s="1"/>
  <c r="K289" i="5"/>
  <c r="F290" i="5" s="1"/>
  <c r="L289" i="5" l="1"/>
  <c r="D290" i="5" s="1"/>
  <c r="E290" i="5" s="1"/>
  <c r="H290" i="5" l="1"/>
  <c r="I290" i="5" l="1"/>
  <c r="M290" i="5" s="1"/>
  <c r="J290" i="5" l="1"/>
  <c r="C291" i="5" s="1"/>
  <c r="K290" i="5"/>
  <c r="F291" i="5" s="1"/>
  <c r="L290" i="5" l="1"/>
  <c r="D291" i="5" s="1"/>
  <c r="E291" i="5" s="1"/>
  <c r="H291" i="5" l="1"/>
  <c r="I291" i="5" l="1"/>
  <c r="M291" i="5" s="1"/>
  <c r="K291" i="5" l="1"/>
  <c r="F292" i="5" s="1"/>
  <c r="J291" i="5"/>
  <c r="C292" i="5" s="1"/>
  <c r="L291" i="5" l="1"/>
  <c r="D292" i="5" s="1"/>
  <c r="E292" i="5" s="1"/>
  <c r="H292" i="5" l="1"/>
  <c r="I292" i="5" l="1"/>
  <c r="M292" i="5" s="1"/>
  <c r="K292" i="5" l="1"/>
  <c r="F293" i="5" s="1"/>
  <c r="J292" i="5"/>
  <c r="C293" i="5" s="1"/>
  <c r="L292" i="5" l="1"/>
  <c r="D293" i="5" s="1"/>
  <c r="E293" i="5" s="1"/>
  <c r="H293" i="5" s="1"/>
  <c r="I293" i="5" l="1"/>
  <c r="M293" i="5" s="1"/>
  <c r="J293" i="5" l="1"/>
  <c r="C294" i="5" s="1"/>
  <c r="K293" i="5"/>
  <c r="F294" i="5" s="1"/>
  <c r="L293" i="5" l="1"/>
  <c r="D294" i="5" s="1"/>
  <c r="E294" i="5" s="1"/>
  <c r="H294" i="5" l="1"/>
  <c r="I294" i="5" l="1"/>
  <c r="M294" i="5" s="1"/>
  <c r="K294" i="5" l="1"/>
  <c r="F295" i="5" s="1"/>
  <c r="J294" i="5"/>
  <c r="C295" i="5" s="1"/>
  <c r="L294" i="5" l="1"/>
  <c r="D295" i="5" s="1"/>
  <c r="E295" i="5" s="1"/>
  <c r="H295" i="5" s="1"/>
  <c r="I295" i="5" l="1"/>
  <c r="M295" i="5" s="1"/>
  <c r="K295" i="5" l="1"/>
  <c r="F296" i="5" s="1"/>
  <c r="J295" i="5"/>
  <c r="C296" i="5" s="1"/>
  <c r="L295" i="5" l="1"/>
  <c r="D296" i="5" s="1"/>
  <c r="E296" i="5" s="1"/>
  <c r="H296" i="5" l="1"/>
  <c r="I296" i="5" l="1"/>
  <c r="M296" i="5" s="1"/>
  <c r="K296" i="5" l="1"/>
  <c r="F297" i="5" s="1"/>
  <c r="J296" i="5"/>
  <c r="C297" i="5" s="1"/>
  <c r="L296" i="5" l="1"/>
  <c r="D297" i="5" s="1"/>
  <c r="E297" i="5" s="1"/>
  <c r="H297" i="5" l="1"/>
  <c r="I297" i="5" l="1"/>
  <c r="M297" i="5" s="1"/>
  <c r="K297" i="5" l="1"/>
  <c r="F298" i="5" s="1"/>
  <c r="J297" i="5"/>
  <c r="C298" i="5" s="1"/>
  <c r="L297" i="5" l="1"/>
  <c r="D298" i="5" s="1"/>
  <c r="E298" i="5" s="1"/>
  <c r="H298" i="5" l="1"/>
  <c r="I298" i="5" l="1"/>
  <c r="M298" i="5" s="1"/>
  <c r="K298" i="5" l="1"/>
  <c r="F299" i="5" s="1"/>
  <c r="J298" i="5"/>
  <c r="C299" i="5" s="1"/>
  <c r="L298" i="5" l="1"/>
  <c r="D299" i="5" s="1"/>
  <c r="E299" i="5" s="1"/>
  <c r="H299" i="5" l="1"/>
  <c r="I299" i="5" l="1"/>
  <c r="M299" i="5" s="1"/>
  <c r="K299" i="5" l="1"/>
  <c r="F300" i="5" s="1"/>
  <c r="J299" i="5"/>
  <c r="C300" i="5" s="1"/>
  <c r="L299" i="5" l="1"/>
  <c r="D300" i="5" s="1"/>
  <c r="E300" i="5" s="1"/>
  <c r="H300" i="5" s="1"/>
  <c r="I300" i="5" l="1"/>
  <c r="J300" i="5" l="1"/>
  <c r="C301" i="5" s="1"/>
  <c r="M300" i="5"/>
  <c r="K300" i="5"/>
  <c r="F301" i="5" s="1"/>
  <c r="L300" i="5" l="1"/>
  <c r="D301" i="5" s="1"/>
  <c r="E301" i="5" s="1"/>
  <c r="H301" i="5" l="1"/>
  <c r="I301" i="5" s="1"/>
  <c r="M301" i="5" s="1"/>
  <c r="K301" i="5" l="1"/>
  <c r="F302" i="5" s="1"/>
  <c r="J301" i="5"/>
  <c r="C302" i="5" s="1"/>
  <c r="L301" i="5" l="1"/>
  <c r="D302" i="5" s="1"/>
  <c r="E302" i="5" s="1"/>
  <c r="H302" i="5" s="1"/>
  <c r="I302" i="5" l="1"/>
  <c r="M302" i="5" s="1"/>
  <c r="J302" i="5" l="1"/>
  <c r="C303" i="5" s="1"/>
  <c r="K302" i="5"/>
  <c r="L302" i="5" l="1"/>
  <c r="D303" i="5" s="1"/>
  <c r="E303" i="5" s="1"/>
  <c r="F303" i="5"/>
  <c r="H303" i="5" l="1"/>
  <c r="I303" i="5" l="1"/>
  <c r="M303" i="5" s="1"/>
  <c r="K303" i="5" l="1"/>
  <c r="F304" i="5" s="1"/>
  <c r="J303" i="5"/>
  <c r="C304" i="5" s="1"/>
  <c r="L303" i="5" l="1"/>
  <c r="D304" i="5" s="1"/>
  <c r="E304" i="5" s="1"/>
  <c r="H304" i="5" l="1"/>
  <c r="I304" i="5" s="1"/>
  <c r="M304" i="5" s="1"/>
  <c r="K304" i="5" l="1"/>
  <c r="F305" i="5" s="1"/>
  <c r="J304" i="5"/>
  <c r="C305" i="5" s="1"/>
  <c r="L304" i="5" l="1"/>
  <c r="D305" i="5" s="1"/>
  <c r="E305" i="5" s="1"/>
  <c r="H305" i="5" s="1"/>
  <c r="I305" i="5" l="1"/>
  <c r="M305" i="5" s="1"/>
  <c r="J305" i="5" l="1"/>
  <c r="C306" i="5" s="1"/>
  <c r="K305" i="5"/>
  <c r="F306" i="5" s="1"/>
  <c r="L305" i="5" l="1"/>
  <c r="D306" i="5" s="1"/>
  <c r="E306" i="5" s="1"/>
  <c r="H306" i="5" l="1"/>
  <c r="I306" i="5" l="1"/>
  <c r="M306" i="5" s="1"/>
  <c r="J306" i="5" l="1"/>
  <c r="C307" i="5" s="1"/>
  <c r="K306" i="5"/>
  <c r="F307" i="5" s="1"/>
  <c r="L306" i="5" l="1"/>
  <c r="D307" i="5" s="1"/>
  <c r="E307" i="5" s="1"/>
  <c r="H307" i="5" l="1"/>
  <c r="I307" i="5" l="1"/>
  <c r="M307" i="5" s="1"/>
  <c r="J307" i="5" l="1"/>
  <c r="C308" i="5" s="1"/>
  <c r="K307" i="5"/>
  <c r="F308" i="5" s="1"/>
  <c r="L307" i="5" l="1"/>
  <c r="D308" i="5" s="1"/>
  <c r="E308" i="5" s="1"/>
  <c r="H308" i="5" l="1"/>
  <c r="I308" i="5" l="1"/>
  <c r="J308" i="5" l="1"/>
  <c r="C309" i="5" s="1"/>
  <c r="M308" i="5"/>
  <c r="K308" i="5"/>
  <c r="F309" i="5" s="1"/>
  <c r="L308" i="5" l="1"/>
  <c r="D309" i="5" s="1"/>
  <c r="E309" i="5" s="1"/>
  <c r="H309" i="5" l="1"/>
  <c r="I309" i="5" l="1"/>
  <c r="M309" i="5" s="1"/>
  <c r="J309" i="5" l="1"/>
  <c r="C310" i="5" s="1"/>
  <c r="K309" i="5"/>
  <c r="F310" i="5" s="1"/>
  <c r="L309" i="5" l="1"/>
  <c r="D310" i="5" s="1"/>
  <c r="E310" i="5" s="1"/>
  <c r="H310" i="5" l="1"/>
  <c r="I310" i="5" l="1"/>
  <c r="M310" i="5" s="1"/>
  <c r="J310" i="5" l="1"/>
  <c r="C311" i="5" s="1"/>
  <c r="K310" i="5"/>
  <c r="F311" i="5" s="1"/>
  <c r="L310" i="5" l="1"/>
  <c r="D311" i="5" s="1"/>
  <c r="E311" i="5" s="1"/>
  <c r="H311" i="5" l="1"/>
  <c r="I311" i="5" l="1"/>
  <c r="M311" i="5" s="1"/>
  <c r="J311" i="5" l="1"/>
  <c r="C312" i="5" s="1"/>
  <c r="K311" i="5"/>
  <c r="F312" i="5" s="1"/>
  <c r="L311" i="5" l="1"/>
  <c r="D312" i="5" s="1"/>
  <c r="E312" i="5" s="1"/>
  <c r="H312" i="5" s="1"/>
  <c r="I312" i="5" l="1"/>
  <c r="M312" i="5" s="1"/>
  <c r="J312" i="5" l="1"/>
  <c r="C313" i="5" s="1"/>
  <c r="K312" i="5"/>
  <c r="F313" i="5" s="1"/>
  <c r="L312" i="5" l="1"/>
  <c r="D313" i="5" s="1"/>
  <c r="E313" i="5" s="1"/>
  <c r="H313" i="5" l="1"/>
  <c r="I313" i="5" l="1"/>
  <c r="M313" i="5" s="1"/>
  <c r="K313" i="5" l="1"/>
  <c r="F314" i="5" s="1"/>
  <c r="J313" i="5"/>
  <c r="C314" i="5" s="1"/>
  <c r="L313" i="5" l="1"/>
  <c r="D314" i="5" s="1"/>
  <c r="E314" i="5" s="1"/>
  <c r="H314" i="5" l="1"/>
  <c r="I314" i="5" s="1"/>
  <c r="M314" i="5" s="1"/>
  <c r="K314" i="5" l="1"/>
  <c r="F315" i="5" s="1"/>
  <c r="J314" i="5"/>
  <c r="C315" i="5" s="1"/>
  <c r="L314" i="5" l="1"/>
  <c r="D315" i="5" s="1"/>
  <c r="E315" i="5" s="1"/>
  <c r="H315" i="5" l="1"/>
  <c r="I315" i="5" l="1"/>
  <c r="M315" i="5" s="1"/>
  <c r="K315" i="5" l="1"/>
  <c r="F316" i="5" s="1"/>
  <c r="J315" i="5"/>
  <c r="C316" i="5" s="1"/>
  <c r="L315" i="5" l="1"/>
  <c r="D316" i="5" s="1"/>
  <c r="E316" i="5" s="1"/>
  <c r="H316" i="5" s="1"/>
  <c r="I316" i="5" l="1"/>
  <c r="M316" i="5" s="1"/>
  <c r="J316" i="5" l="1"/>
  <c r="C317" i="5" s="1"/>
  <c r="K316" i="5"/>
  <c r="F317" i="5" s="1"/>
  <c r="L316" i="5" l="1"/>
  <c r="D317" i="5" s="1"/>
  <c r="E317" i="5" s="1"/>
  <c r="H317" i="5" l="1"/>
  <c r="I317" i="5" l="1"/>
  <c r="M317" i="5" s="1"/>
  <c r="J317" i="5" l="1"/>
  <c r="C318" i="5" s="1"/>
  <c r="K317" i="5"/>
  <c r="F318" i="5" s="1"/>
  <c r="L317" i="5" l="1"/>
  <c r="D318" i="5" s="1"/>
  <c r="E318" i="5" s="1"/>
  <c r="H318" i="5" l="1"/>
  <c r="I318" i="5" l="1"/>
  <c r="M318" i="5" s="1"/>
  <c r="J318" i="5" l="1"/>
  <c r="C319" i="5" s="1"/>
  <c r="K318" i="5"/>
  <c r="F319" i="5" s="1"/>
  <c r="L318" i="5" l="1"/>
  <c r="D319" i="5" s="1"/>
  <c r="E319" i="5" s="1"/>
  <c r="H319" i="5" l="1"/>
  <c r="I319" i="5" l="1"/>
  <c r="J319" i="5" l="1"/>
  <c r="C320" i="5" s="1"/>
  <c r="M319" i="5"/>
  <c r="K319" i="5"/>
  <c r="F320" i="5" s="1"/>
  <c r="L319" i="5" l="1"/>
  <c r="D320" i="5" s="1"/>
  <c r="E320" i="5" s="1"/>
  <c r="H320" i="5" l="1"/>
  <c r="I320" i="5" s="1"/>
  <c r="J320" i="5" l="1"/>
  <c r="C321" i="5" s="1"/>
  <c r="M320" i="5"/>
  <c r="K320" i="5"/>
  <c r="F321" i="5" s="1"/>
  <c r="L320" i="5" l="1"/>
  <c r="D321" i="5" s="1"/>
  <c r="E321" i="5" s="1"/>
  <c r="H321" i="5" l="1"/>
  <c r="I321" i="5" s="1"/>
  <c r="M321" i="5" s="1"/>
  <c r="K321" i="5" l="1"/>
  <c r="F322" i="5" s="1"/>
  <c r="J321" i="5"/>
  <c r="C322" i="5" s="1"/>
  <c r="L321" i="5" l="1"/>
  <c r="D322" i="5" s="1"/>
  <c r="E322" i="5" s="1"/>
  <c r="H322" i="5" l="1"/>
  <c r="I322" i="5" s="1"/>
  <c r="K322" i="5" l="1"/>
  <c r="F323" i="5" s="1"/>
  <c r="M322" i="5"/>
  <c r="J322" i="5"/>
  <c r="C323" i="5" s="1"/>
  <c r="L322" i="5" l="1"/>
  <c r="D323" i="5" s="1"/>
  <c r="E323" i="5" s="1"/>
  <c r="H323" i="5" s="1"/>
  <c r="I323" i="5" s="1"/>
  <c r="M323" i="5" s="1"/>
  <c r="K323" i="5" l="1"/>
  <c r="F324" i="5" s="1"/>
  <c r="J323" i="5"/>
  <c r="C324" i="5" s="1"/>
  <c r="L323" i="5" l="1"/>
  <c r="D324" i="5" s="1"/>
  <c r="E324" i="5" s="1"/>
  <c r="H324" i="5" s="1"/>
  <c r="I324" i="5" l="1"/>
  <c r="J324" i="5" l="1"/>
  <c r="C325" i="5" s="1"/>
  <c r="M324" i="5"/>
  <c r="K324" i="5"/>
  <c r="F325" i="5" s="1"/>
  <c r="L324" i="5" l="1"/>
  <c r="D325" i="5" s="1"/>
  <c r="E325" i="5" s="1"/>
  <c r="H325" i="5" l="1"/>
  <c r="I325" i="5" s="1"/>
  <c r="M325" i="5" s="1"/>
  <c r="K325" i="5" l="1"/>
  <c r="F326" i="5" s="1"/>
  <c r="J325" i="5"/>
  <c r="C326" i="5" s="1"/>
  <c r="L325" i="5" l="1"/>
  <c r="D326" i="5" s="1"/>
  <c r="E326" i="5" s="1"/>
  <c r="H326" i="5" l="1"/>
  <c r="I326" i="5" l="1"/>
  <c r="M326" i="5" s="1"/>
  <c r="K326" i="5" l="1"/>
  <c r="F327" i="5" s="1"/>
  <c r="J326" i="5"/>
  <c r="C327" i="5" s="1"/>
  <c r="L326" i="5" l="1"/>
  <c r="D327" i="5" s="1"/>
  <c r="E327" i="5" s="1"/>
  <c r="H327" i="5" l="1"/>
  <c r="I327" i="5" s="1"/>
  <c r="M327" i="5" s="1"/>
  <c r="K327" i="5" l="1"/>
  <c r="F328" i="5" s="1"/>
  <c r="J327" i="5"/>
  <c r="C328" i="5" s="1"/>
  <c r="L327" i="5" l="1"/>
  <c r="D328" i="5" s="1"/>
  <c r="E328" i="5" s="1"/>
  <c r="H328" i="5" l="1"/>
  <c r="I328" i="5" s="1"/>
  <c r="M328" i="5" s="1"/>
  <c r="K328" i="5" l="1"/>
  <c r="F329" i="5" s="1"/>
  <c r="J328" i="5"/>
  <c r="C329" i="5" s="1"/>
  <c r="L328" i="5" l="1"/>
  <c r="D329" i="5" s="1"/>
  <c r="E329" i="5" s="1"/>
  <c r="H329" i="5" s="1"/>
  <c r="I329" i="5" l="1"/>
  <c r="M329" i="5" s="1"/>
  <c r="J329" i="5" l="1"/>
  <c r="C330" i="5" s="1"/>
  <c r="K329" i="5"/>
  <c r="F330" i="5" s="1"/>
  <c r="L329" i="5" l="1"/>
  <c r="D330" i="5" s="1"/>
  <c r="E330" i="5" s="1"/>
  <c r="H330" i="5" l="1"/>
  <c r="I330" i="5" l="1"/>
  <c r="M330" i="5" s="1"/>
  <c r="K330" i="5" l="1"/>
  <c r="F331" i="5" s="1"/>
  <c r="J330" i="5"/>
  <c r="C331" i="5" s="1"/>
  <c r="L330" i="5" l="1"/>
  <c r="D331" i="5" s="1"/>
  <c r="E331" i="5" s="1"/>
  <c r="H331" i="5" s="1"/>
  <c r="I331" i="5" l="1"/>
  <c r="M331" i="5" s="1"/>
  <c r="J331" i="5" l="1"/>
  <c r="C332" i="5" s="1"/>
  <c r="K331" i="5"/>
  <c r="F332" i="5" s="1"/>
  <c r="L331" i="5" l="1"/>
  <c r="D332" i="5" s="1"/>
  <c r="E332" i="5" s="1"/>
  <c r="H332" i="5" l="1"/>
  <c r="I332" i="5" s="1"/>
  <c r="K332" i="5" l="1"/>
  <c r="F333" i="5" s="1"/>
  <c r="M332" i="5"/>
  <c r="J332" i="5"/>
  <c r="C333" i="5" s="1"/>
  <c r="L332" i="5" l="1"/>
  <c r="D333" i="5" s="1"/>
  <c r="E333" i="5" s="1"/>
  <c r="H333" i="5" s="1"/>
  <c r="I333" i="5" l="1"/>
  <c r="M333" i="5" s="1"/>
  <c r="J333" i="5" l="1"/>
  <c r="C334" i="5" s="1"/>
  <c r="K333" i="5"/>
  <c r="F334" i="5" s="1"/>
  <c r="L333" i="5" l="1"/>
  <c r="D334" i="5" s="1"/>
  <c r="E334" i="5" s="1"/>
  <c r="H334" i="5" l="1"/>
  <c r="I334" i="5" l="1"/>
  <c r="M334" i="5" s="1"/>
  <c r="K334" i="5" l="1"/>
  <c r="F335" i="5" s="1"/>
  <c r="J334" i="5"/>
  <c r="C335" i="5" s="1"/>
  <c r="L334" i="5" l="1"/>
  <c r="D335" i="5" s="1"/>
  <c r="E335" i="5" s="1"/>
  <c r="H335" i="5" s="1"/>
  <c r="I335" i="5" l="1"/>
  <c r="M335" i="5" s="1"/>
  <c r="J335" i="5" l="1"/>
  <c r="C336" i="5" s="1"/>
  <c r="K335" i="5"/>
  <c r="F336" i="5" s="1"/>
  <c r="L335" i="5" l="1"/>
  <c r="D336" i="5" s="1"/>
  <c r="E336" i="5" s="1"/>
  <c r="H336" i="5" l="1"/>
  <c r="I336" i="5" l="1"/>
  <c r="J336" i="5" l="1"/>
  <c r="C337" i="5" s="1"/>
  <c r="M336" i="5"/>
  <c r="K336" i="5"/>
  <c r="F337" i="5" s="1"/>
  <c r="L336" i="5" l="1"/>
  <c r="D337" i="5" s="1"/>
  <c r="E337" i="5" s="1"/>
  <c r="H337" i="5" l="1"/>
  <c r="I337" i="5" l="1"/>
  <c r="M337" i="5" s="1"/>
  <c r="J337" i="5" l="1"/>
  <c r="C338" i="5" s="1"/>
  <c r="K337" i="5"/>
  <c r="F338" i="5" s="1"/>
  <c r="L337" i="5" l="1"/>
  <c r="D338" i="5" s="1"/>
  <c r="E338" i="5" s="1"/>
  <c r="H338" i="5" l="1"/>
  <c r="I338" i="5" l="1"/>
  <c r="M338" i="5" s="1"/>
  <c r="K338" i="5" l="1"/>
  <c r="F339" i="5" s="1"/>
  <c r="J338" i="5"/>
  <c r="C339" i="5" s="1"/>
  <c r="L338" i="5" l="1"/>
  <c r="D339" i="5" s="1"/>
  <c r="E339" i="5" s="1"/>
  <c r="H339" i="5" s="1"/>
  <c r="I339" i="5" l="1"/>
  <c r="M339" i="5" s="1"/>
  <c r="J339" i="5" l="1"/>
  <c r="C340" i="5" s="1"/>
  <c r="K339" i="5"/>
  <c r="F340" i="5" s="1"/>
  <c r="L339" i="5" l="1"/>
  <c r="D340" i="5" s="1"/>
  <c r="E340" i="5" s="1"/>
  <c r="H340" i="5" l="1"/>
  <c r="I340" i="5" s="1"/>
  <c r="M340" i="5" s="1"/>
  <c r="K340" i="5" l="1"/>
  <c r="F341" i="5" s="1"/>
  <c r="J340" i="5"/>
  <c r="C341" i="5" s="1"/>
  <c r="L340" i="5" l="1"/>
  <c r="D341" i="5" s="1"/>
  <c r="E341" i="5" s="1"/>
  <c r="H341" i="5" l="1"/>
  <c r="I341" i="5" l="1"/>
  <c r="M341" i="5" s="1"/>
  <c r="K341" i="5" l="1"/>
  <c r="F342" i="5" s="1"/>
  <c r="J341" i="5"/>
  <c r="C342" i="5" s="1"/>
  <c r="L341" i="5" l="1"/>
  <c r="D342" i="5" s="1"/>
  <c r="E342" i="5" s="1"/>
  <c r="H342" i="5" l="1"/>
  <c r="I342" i="5" l="1"/>
  <c r="M342" i="5" s="1"/>
  <c r="K342" i="5" l="1"/>
  <c r="F343" i="5" s="1"/>
  <c r="J342" i="5"/>
  <c r="C343" i="5" s="1"/>
  <c r="L342" i="5" l="1"/>
  <c r="D343" i="5" s="1"/>
  <c r="E343" i="5" s="1"/>
  <c r="H343" i="5" l="1"/>
  <c r="I343" i="5" l="1"/>
  <c r="J343" i="5" l="1"/>
  <c r="C344" i="5" s="1"/>
  <c r="M343" i="5"/>
  <c r="K343" i="5"/>
  <c r="F344" i="5" s="1"/>
  <c r="L343" i="5" l="1"/>
  <c r="D344" i="5" s="1"/>
  <c r="E344" i="5" s="1"/>
  <c r="H344" i="5" l="1"/>
  <c r="I344" i="5" l="1"/>
  <c r="J344" i="5" l="1"/>
  <c r="C345" i="5" s="1"/>
  <c r="M344" i="5"/>
  <c r="K344" i="5"/>
  <c r="F345" i="5" s="1"/>
  <c r="L344" i="5" l="1"/>
  <c r="D345" i="5" s="1"/>
  <c r="E345" i="5" s="1"/>
  <c r="H345" i="5" l="1"/>
  <c r="I345" i="5" l="1"/>
  <c r="M345" i="5" s="1"/>
  <c r="K345" i="5" l="1"/>
  <c r="F346" i="5" s="1"/>
  <c r="J345" i="5"/>
  <c r="C346" i="5" s="1"/>
  <c r="L345" i="5" l="1"/>
  <c r="D346" i="5" s="1"/>
  <c r="E346" i="5" s="1"/>
  <c r="H346" i="5" s="1"/>
  <c r="I346" i="5" l="1"/>
  <c r="M346" i="5" s="1"/>
  <c r="J346" i="5" l="1"/>
  <c r="C347" i="5" s="1"/>
  <c r="K346" i="5"/>
  <c r="F347" i="5" s="1"/>
  <c r="L346" i="5" l="1"/>
  <c r="D347" i="5" s="1"/>
  <c r="E347" i="5" s="1"/>
  <c r="H347" i="5" l="1"/>
  <c r="I347" i="5" l="1"/>
  <c r="M347" i="5" s="1"/>
  <c r="J347" i="5" l="1"/>
  <c r="C348" i="5" s="1"/>
  <c r="K347" i="5"/>
  <c r="F348" i="5" s="1"/>
  <c r="L347" i="5" l="1"/>
  <c r="D348" i="5" s="1"/>
  <c r="E348" i="5" s="1"/>
  <c r="H348" i="5" l="1"/>
  <c r="I348" i="5" l="1"/>
  <c r="M348" i="5" s="1"/>
  <c r="K348" i="5" l="1"/>
  <c r="F349" i="5" s="1"/>
  <c r="J348" i="5"/>
  <c r="C349" i="5" s="1"/>
  <c r="L348" i="5" l="1"/>
  <c r="D349" i="5" s="1"/>
  <c r="E349" i="5" s="1"/>
  <c r="H349" i="5" s="1"/>
  <c r="I349" i="5" l="1"/>
  <c r="M349" i="5" s="1"/>
  <c r="J349" i="5" l="1"/>
  <c r="C350" i="5" s="1"/>
  <c r="K349" i="5"/>
  <c r="F350" i="5" s="1"/>
  <c r="L349" i="5" l="1"/>
  <c r="D350" i="5" s="1"/>
  <c r="E350" i="5" s="1"/>
  <c r="H350" i="5" l="1"/>
  <c r="I350" i="5" l="1"/>
  <c r="M350" i="5" s="1"/>
  <c r="K350" i="5" l="1"/>
  <c r="F351" i="5" s="1"/>
  <c r="J350" i="5"/>
  <c r="C351" i="5" s="1"/>
  <c r="L350" i="5" l="1"/>
  <c r="D351" i="5" s="1"/>
  <c r="E351" i="5" s="1"/>
  <c r="H351" i="5" s="1"/>
  <c r="I351" i="5" l="1"/>
  <c r="J351" i="5" l="1"/>
  <c r="C352" i="5" s="1"/>
  <c r="M351" i="5"/>
  <c r="K351" i="5"/>
  <c r="F352" i="5" s="1"/>
  <c r="L351" i="5" l="1"/>
  <c r="D352" i="5" s="1"/>
  <c r="E352" i="5" s="1"/>
  <c r="H352" i="5" l="1"/>
  <c r="I352" i="5" l="1"/>
  <c r="J352" i="5" l="1"/>
  <c r="C353" i="5" s="1"/>
  <c r="M352" i="5"/>
  <c r="K352" i="5"/>
  <c r="F353" i="5" s="1"/>
  <c r="L352" i="5" l="1"/>
  <c r="D353" i="5" s="1"/>
  <c r="E353" i="5" s="1"/>
  <c r="H353" i="5" l="1"/>
  <c r="I353" i="5" l="1"/>
  <c r="M353" i="5" s="1"/>
  <c r="K353" i="5" l="1"/>
  <c r="F354" i="5" s="1"/>
  <c r="J353" i="5"/>
  <c r="C354" i="5" s="1"/>
  <c r="L353" i="5" l="1"/>
  <c r="D354" i="5" s="1"/>
  <c r="E354" i="5" s="1"/>
  <c r="H354" i="5" s="1"/>
  <c r="I354" i="5" l="1"/>
  <c r="J354" i="5" s="1"/>
  <c r="C355" i="5" s="1"/>
  <c r="M354" i="5" l="1"/>
  <c r="K354" i="5"/>
  <c r="F355" i="5" s="1"/>
  <c r="L354" i="5" l="1"/>
  <c r="D355" i="5" s="1"/>
  <c r="E355" i="5" s="1"/>
  <c r="H355" i="5" l="1"/>
  <c r="I355" i="5" l="1"/>
  <c r="M355" i="5" s="1"/>
  <c r="K355" i="5" l="1"/>
  <c r="F356" i="5" s="1"/>
  <c r="J355" i="5"/>
  <c r="C356" i="5" s="1"/>
  <c r="L355" i="5" l="1"/>
  <c r="D356" i="5" s="1"/>
  <c r="E356" i="5" s="1"/>
  <c r="H356" i="5" l="1"/>
  <c r="I356" i="5" l="1"/>
  <c r="M356" i="5" s="1"/>
  <c r="J356" i="5" l="1"/>
  <c r="C357" i="5" s="1"/>
  <c r="K356" i="5"/>
  <c r="F357" i="5" s="1"/>
  <c r="L356" i="5" l="1"/>
  <c r="D357" i="5" s="1"/>
  <c r="E357" i="5" s="1"/>
  <c r="H357" i="5" l="1"/>
  <c r="I357" i="5" l="1"/>
  <c r="M357" i="5" s="1"/>
  <c r="J357" i="5" l="1"/>
  <c r="C358" i="5" s="1"/>
  <c r="K357" i="5"/>
  <c r="F358" i="5" s="1"/>
  <c r="L357" i="5" l="1"/>
  <c r="D358" i="5" s="1"/>
  <c r="E358" i="5" s="1"/>
  <c r="H358" i="5" l="1"/>
  <c r="I358" i="5" l="1"/>
  <c r="M358" i="5" s="1"/>
  <c r="K358" i="5" l="1"/>
  <c r="F359" i="5" s="1"/>
  <c r="J358" i="5"/>
  <c r="C359" i="5" s="1"/>
  <c r="L358" i="5" l="1"/>
  <c r="D359" i="5" s="1"/>
  <c r="E359" i="5" s="1"/>
  <c r="H359" i="5" s="1"/>
  <c r="I359" i="5" l="1"/>
  <c r="M359" i="5" s="1"/>
  <c r="J359" i="5" l="1"/>
  <c r="C360" i="5" s="1"/>
  <c r="K359" i="5"/>
  <c r="F360" i="5" s="1"/>
  <c r="L359" i="5" l="1"/>
  <c r="D360" i="5" s="1"/>
  <c r="E360" i="5" s="1"/>
  <c r="H360" i="5" l="1"/>
  <c r="I360" i="5" l="1"/>
  <c r="J360" i="5" l="1"/>
  <c r="C361" i="5" s="1"/>
  <c r="M360" i="5"/>
  <c r="K360" i="5"/>
  <c r="F361" i="5" s="1"/>
  <c r="L360" i="5" l="1"/>
  <c r="D361" i="5" s="1"/>
  <c r="E361" i="5" s="1"/>
  <c r="H361" i="5" l="1"/>
  <c r="I361" i="5" s="1"/>
  <c r="M361" i="5" l="1"/>
  <c r="K361" i="5"/>
  <c r="F362" i="5" s="1"/>
  <c r="J361" i="5"/>
  <c r="C362" i="5" s="1"/>
  <c r="L361" i="5" l="1"/>
  <c r="D362" i="5" s="1"/>
  <c r="E362" i="5" s="1"/>
  <c r="H362" i="5" l="1"/>
  <c r="I362" i="5" l="1"/>
  <c r="M362" i="5" s="1"/>
  <c r="K362" i="5" l="1"/>
  <c r="F363" i="5" s="1"/>
  <c r="J362" i="5"/>
  <c r="C363" i="5" s="1"/>
  <c r="L362" i="5" l="1"/>
  <c r="D363" i="5" s="1"/>
  <c r="E363" i="5" s="1"/>
  <c r="H363" i="5" s="1"/>
  <c r="I363" i="5" l="1"/>
  <c r="M363" i="5" s="1"/>
  <c r="J363" i="5" l="1"/>
  <c r="C364" i="5" s="1"/>
  <c r="K363" i="5"/>
  <c r="F364" i="5" s="1"/>
  <c r="L363" i="5" l="1"/>
  <c r="D364" i="5" s="1"/>
  <c r="E364" i="5" s="1"/>
  <c r="H364" i="5" l="1"/>
  <c r="I364" i="5" l="1"/>
  <c r="M364" i="5" s="1"/>
  <c r="K364" i="5" l="1"/>
  <c r="F365" i="5" s="1"/>
  <c r="J364" i="5"/>
  <c r="C365" i="5" s="1"/>
  <c r="L364" i="5" l="1"/>
  <c r="D365" i="5" s="1"/>
  <c r="E365" i="5" s="1"/>
  <c r="H365" i="5" l="1"/>
  <c r="I365" i="5" l="1"/>
  <c r="M365" i="5" s="1"/>
  <c r="K365" i="5" l="1"/>
  <c r="F366" i="5" s="1"/>
  <c r="J365" i="5"/>
  <c r="C366" i="5" s="1"/>
  <c r="L365" i="5" l="1"/>
  <c r="D366" i="5" s="1"/>
  <c r="E366" i="5" s="1"/>
  <c r="H366" i="5" s="1"/>
  <c r="I366" i="5" l="1"/>
  <c r="M366" i="5" s="1"/>
  <c r="J366" i="5" l="1"/>
  <c r="C367" i="5" s="1"/>
  <c r="K366" i="5"/>
  <c r="F367" i="5" s="1"/>
  <c r="L366" i="5" l="1"/>
  <c r="D367" i="5" s="1"/>
  <c r="E367" i="5" s="1"/>
  <c r="H367" i="5" l="1"/>
  <c r="I367" i="5" l="1"/>
  <c r="J367" i="5" l="1"/>
  <c r="C368" i="5" s="1"/>
  <c r="M367" i="5"/>
  <c r="K367" i="5"/>
  <c r="F368" i="5" s="1"/>
  <c r="L367" i="5" l="1"/>
  <c r="D368" i="5" s="1"/>
  <c r="E368" i="5" s="1"/>
  <c r="H368" i="5" l="1"/>
  <c r="I368" i="5" s="1"/>
  <c r="J368" i="5" l="1"/>
  <c r="C369" i="5" s="1"/>
  <c r="M368" i="5"/>
  <c r="K368" i="5"/>
  <c r="F369" i="5" s="1"/>
  <c r="L368" i="5" l="1"/>
  <c r="D369" i="5" s="1"/>
  <c r="E369" i="5" s="1"/>
  <c r="H369" i="5" l="1"/>
  <c r="I369" i="5" s="1"/>
  <c r="M369" i="5" l="1"/>
  <c r="K369" i="5"/>
  <c r="F370" i="5" s="1"/>
  <c r="J369" i="5"/>
  <c r="C370" i="5" s="1"/>
  <c r="L369" i="5" l="1"/>
  <c r="D370" i="5" s="1"/>
  <c r="E370" i="5" s="1"/>
  <c r="H370" i="5" s="1"/>
  <c r="I370" i="5" l="1"/>
  <c r="J370" i="5" s="1"/>
  <c r="C371" i="5" s="1"/>
  <c r="M370" i="5" l="1"/>
  <c r="K370" i="5"/>
  <c r="F371" i="5" s="1"/>
  <c r="L370" i="5" l="1"/>
  <c r="D371" i="5" s="1"/>
  <c r="E371" i="5" s="1"/>
  <c r="H371" i="5" l="1"/>
  <c r="I371" i="5" l="1"/>
  <c r="M371" i="5" s="1"/>
  <c r="K371" i="5" l="1"/>
  <c r="F372" i="5" s="1"/>
  <c r="J371" i="5"/>
  <c r="C372" i="5" s="1"/>
  <c r="L371" i="5" l="1"/>
  <c r="D372" i="5" s="1"/>
  <c r="E372" i="5" s="1"/>
  <c r="H372" i="5" l="1"/>
  <c r="I372" i="5" l="1"/>
  <c r="M372" i="5" s="1"/>
  <c r="Q7" i="5" s="1"/>
  <c r="K372" i="5" l="1"/>
  <c r="P7" i="5" s="1"/>
  <c r="J372" i="5"/>
  <c r="L372" i="5" l="1"/>
  <c r="O7" i="5"/>
</calcChain>
</file>

<file path=xl/sharedStrings.xml><?xml version="1.0" encoding="utf-8"?>
<sst xmlns="http://schemas.openxmlformats.org/spreadsheetml/2006/main" count="42" uniqueCount="27">
  <si>
    <t>Day</t>
  </si>
  <si>
    <t>Min</t>
  </si>
  <si>
    <t>Max</t>
  </si>
  <si>
    <t>Bins</t>
  </si>
  <si>
    <t>Beginning Inventory</t>
  </si>
  <si>
    <t>Backorders From Yesterday</t>
  </si>
  <si>
    <t>Today's Demand</t>
  </si>
  <si>
    <t>Received From Supplier</t>
  </si>
  <si>
    <t>Available To Ship</t>
  </si>
  <si>
    <t>Fill Rate</t>
  </si>
  <si>
    <t>Ending Inventory</t>
  </si>
  <si>
    <t>Ending Backorders</t>
  </si>
  <si>
    <t>Orders To Supplier</t>
  </si>
  <si>
    <t>Base Stock</t>
  </si>
  <si>
    <t>Shipments For Backorders</t>
  </si>
  <si>
    <t>Shipments For Today's Demand</t>
  </si>
  <si>
    <t xml:space="preserve"> </t>
  </si>
  <si>
    <t>Average Ending  Inventory</t>
  </si>
  <si>
    <t>Probability</t>
  </si>
  <si>
    <t>Cumulative Probability</t>
  </si>
  <si>
    <t>No-Stockout Priobability</t>
  </si>
  <si>
    <t>Average Ending Inventory</t>
  </si>
  <si>
    <t>Decision Variable</t>
  </si>
  <si>
    <t>Simulated No Stockout Probability</t>
  </si>
  <si>
    <t>Simulated Weighted Average Fill Rate</t>
  </si>
  <si>
    <t>Simulated No-Stockout Probability</t>
  </si>
  <si>
    <t>Weighted Average Fill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</si>
</sst>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0" fillId="0" borderId="11" xfId="0" applyBorder="1"/>
    <xf numFmtId="0" fontId="0" fillId="0" borderId="10" xfId="0" applyBorder="1"/>
    <xf numFmtId="164" fontId="0" fillId="0" borderId="0" xfId="0" applyNumberFormat="1"/>
    <xf numFmtId="0" fontId="0" fillId="33" borderId="12" xfId="0" applyFill="1" applyBorder="1" applyAlignment="1">
      <alignment horizontal="center"/>
    </xf>
    <xf numFmtId="165" fontId="0" fillId="0" borderId="0" xfId="42" applyNumberFormat="1" applyFont="1"/>
    <xf numFmtId="0" fontId="0" fillId="34" borderId="14" xfId="0" applyFill="1" applyBorder="1"/>
    <xf numFmtId="165" fontId="0" fillId="0" borderId="15" xfId="42" applyNumberFormat="1" applyFont="1" applyBorder="1"/>
    <xf numFmtId="165" fontId="0" fillId="0" borderId="16" xfId="42" applyNumberFormat="1" applyFont="1" applyBorder="1"/>
    <xf numFmtId="0" fontId="0" fillId="34" borderId="13" xfId="0" applyFill="1" applyBorder="1"/>
    <xf numFmtId="0" fontId="0" fillId="34" borderId="13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16" fillId="0" borderId="0" xfId="0" applyFont="1" applyBorder="1" applyAlignment="1">
      <alignment horizontal="center" vertical="center" wrapText="1"/>
    </xf>
    <xf numFmtId="0" fontId="0" fillId="35" borderId="13" xfId="0" applyNumberFormat="1" applyFill="1" applyBorder="1"/>
    <xf numFmtId="0" fontId="0" fillId="35" borderId="0" xfId="0" applyFill="1"/>
    <xf numFmtId="0" fontId="0" fillId="35" borderId="11" xfId="0" applyNumberFormat="1" applyFill="1" applyBorder="1"/>
    <xf numFmtId="164" fontId="0" fillId="35" borderId="0" xfId="0" applyNumberFormat="1" applyFill="1"/>
    <xf numFmtId="0" fontId="16" fillId="33" borderId="12" xfId="0" applyFont="1" applyFill="1" applyBorder="1" applyAlignment="1">
      <alignment horizontal="center" vertical="center" wrapText="1"/>
    </xf>
    <xf numFmtId="165" fontId="0" fillId="35" borderId="13" xfId="42" applyNumberFormat="1" applyFont="1" applyFill="1" applyBorder="1"/>
    <xf numFmtId="165" fontId="0" fillId="35" borderId="11" xfId="42" applyNumberFormat="1" applyFont="1" applyFill="1" applyBorder="1"/>
    <xf numFmtId="165" fontId="0" fillId="35" borderId="10" xfId="42" applyNumberFormat="1" applyFont="1" applyFill="1" applyBorder="1"/>
    <xf numFmtId="0" fontId="0" fillId="0" borderId="13" xfId="0" applyBorder="1" applyAlignment="1">
      <alignment horizontal="center"/>
    </xf>
    <xf numFmtId="165" fontId="0" fillId="33" borderId="12" xfId="0" applyNumberFormat="1" applyFill="1" applyBorder="1" applyAlignment="1">
      <alignment horizontal="center"/>
    </xf>
    <xf numFmtId="165" fontId="1" fillId="33" borderId="12" xfId="42" applyNumberFormat="1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/>
    </xf>
    <xf numFmtId="0" fontId="16" fillId="36" borderId="12" xfId="0" applyFont="1" applyFill="1" applyBorder="1" applyAlignment="1">
      <alignment horizontal="center" vertical="center" wrapText="1"/>
    </xf>
    <xf numFmtId="0" fontId="0" fillId="35" borderId="10" xfId="0" applyNumberFormat="1" applyFill="1" applyBorder="1"/>
    <xf numFmtId="0" fontId="16" fillId="0" borderId="20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Main!$B$5</c:f>
          <c:strCache>
            <c:ptCount val="1"/>
            <c:pt idx="0">
              <c:v>Average Ending  Inventory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Results!$E$3</c:f>
              <c:strCache>
                <c:ptCount val="1"/>
                <c:pt idx="0">
                  <c:v>Probability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Results!$D$4:$D$54</c:f>
              <c:numCache>
                <c:formatCode>General</c:formatCode>
                <c:ptCount val="51"/>
                <c:pt idx="0">
                  <c:v>74.31506849315069</c:v>
                </c:pt>
                <c:pt idx="1">
                  <c:v>74.582082191780827</c:v>
                </c:pt>
                <c:pt idx="2">
                  <c:v>74.849095890410965</c:v>
                </c:pt>
                <c:pt idx="3">
                  <c:v>75.116109589041102</c:v>
                </c:pt>
                <c:pt idx="4">
                  <c:v>75.383123287671239</c:v>
                </c:pt>
                <c:pt idx="5">
                  <c:v>75.650136986301376</c:v>
                </c:pt>
                <c:pt idx="6">
                  <c:v>75.917150684931514</c:v>
                </c:pt>
                <c:pt idx="7">
                  <c:v>76.184164383561651</c:v>
                </c:pt>
                <c:pt idx="8">
                  <c:v>76.451178082191788</c:v>
                </c:pt>
                <c:pt idx="9">
                  <c:v>76.718191780821925</c:v>
                </c:pt>
                <c:pt idx="10">
                  <c:v>76.985205479452063</c:v>
                </c:pt>
                <c:pt idx="11">
                  <c:v>77.2522191780822</c:v>
                </c:pt>
                <c:pt idx="12">
                  <c:v>77.519232876712337</c:v>
                </c:pt>
                <c:pt idx="13">
                  <c:v>77.786246575342474</c:v>
                </c:pt>
                <c:pt idx="14">
                  <c:v>78.053260273972612</c:v>
                </c:pt>
                <c:pt idx="15">
                  <c:v>78.320273972602749</c:v>
                </c:pt>
                <c:pt idx="16">
                  <c:v>78.587287671232886</c:v>
                </c:pt>
                <c:pt idx="17">
                  <c:v>78.854301369863023</c:v>
                </c:pt>
                <c:pt idx="18">
                  <c:v>79.121315068493161</c:v>
                </c:pt>
                <c:pt idx="19">
                  <c:v>79.388328767123298</c:v>
                </c:pt>
                <c:pt idx="20">
                  <c:v>79.655342465753435</c:v>
                </c:pt>
                <c:pt idx="21">
                  <c:v>79.922356164383572</c:v>
                </c:pt>
                <c:pt idx="22">
                  <c:v>80.18936986301371</c:v>
                </c:pt>
                <c:pt idx="23">
                  <c:v>80.456383561643847</c:v>
                </c:pt>
                <c:pt idx="24">
                  <c:v>80.723397260273984</c:v>
                </c:pt>
                <c:pt idx="25">
                  <c:v>80.990410958904121</c:v>
                </c:pt>
                <c:pt idx="26">
                  <c:v>81.257424657534258</c:v>
                </c:pt>
                <c:pt idx="27">
                  <c:v>81.524438356164396</c:v>
                </c:pt>
                <c:pt idx="28">
                  <c:v>81.791452054794533</c:v>
                </c:pt>
                <c:pt idx="29">
                  <c:v>82.05846575342467</c:v>
                </c:pt>
                <c:pt idx="30">
                  <c:v>82.325479452054807</c:v>
                </c:pt>
                <c:pt idx="31">
                  <c:v>82.592493150684945</c:v>
                </c:pt>
                <c:pt idx="32">
                  <c:v>82.859506849315082</c:v>
                </c:pt>
                <c:pt idx="33">
                  <c:v>83.126520547945219</c:v>
                </c:pt>
                <c:pt idx="34">
                  <c:v>83.393534246575356</c:v>
                </c:pt>
                <c:pt idx="35">
                  <c:v>83.660547945205494</c:v>
                </c:pt>
                <c:pt idx="36">
                  <c:v>83.927561643835631</c:v>
                </c:pt>
                <c:pt idx="37">
                  <c:v>84.194575342465768</c:v>
                </c:pt>
                <c:pt idx="38">
                  <c:v>84.461589041095905</c:v>
                </c:pt>
                <c:pt idx="39">
                  <c:v>84.728602739726043</c:v>
                </c:pt>
                <c:pt idx="40">
                  <c:v>84.99561643835618</c:v>
                </c:pt>
                <c:pt idx="41">
                  <c:v>85.262630136986317</c:v>
                </c:pt>
                <c:pt idx="42">
                  <c:v>85.529643835616454</c:v>
                </c:pt>
                <c:pt idx="43">
                  <c:v>85.796657534246592</c:v>
                </c:pt>
                <c:pt idx="44">
                  <c:v>86.063671232876729</c:v>
                </c:pt>
                <c:pt idx="45">
                  <c:v>86.330684931506866</c:v>
                </c:pt>
                <c:pt idx="46">
                  <c:v>86.597698630137003</c:v>
                </c:pt>
                <c:pt idx="47">
                  <c:v>86.864712328767141</c:v>
                </c:pt>
                <c:pt idx="48">
                  <c:v>87.131726027397278</c:v>
                </c:pt>
                <c:pt idx="49">
                  <c:v>87.398739726027415</c:v>
                </c:pt>
                <c:pt idx="50">
                  <c:v>87.665753424657538</c:v>
                </c:pt>
              </c:numCache>
            </c:numRef>
          </c:cat>
          <c:val>
            <c:numRef>
              <c:f>Results!$E$4:$E$54</c:f>
              <c:numCache>
                <c:formatCode>0.0%</c:formatCode>
                <c:ptCount val="51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0.03</c:v>
                </c:pt>
                <c:pt idx="8">
                  <c:v>0.01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0.02</c:v>
                </c:pt>
                <c:pt idx="13">
                  <c:v>0</c:v>
                </c:pt>
                <c:pt idx="14">
                  <c:v>1.4999999999999999E-2</c:v>
                </c:pt>
                <c:pt idx="15">
                  <c:v>0.02</c:v>
                </c:pt>
                <c:pt idx="16">
                  <c:v>2.5000000000000001E-2</c:v>
                </c:pt>
                <c:pt idx="17">
                  <c:v>0.05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3.5000000000000003E-2</c:v>
                </c:pt>
                <c:pt idx="22">
                  <c:v>0.03</c:v>
                </c:pt>
                <c:pt idx="23">
                  <c:v>0.03</c:v>
                </c:pt>
                <c:pt idx="24">
                  <c:v>0.04</c:v>
                </c:pt>
                <c:pt idx="25">
                  <c:v>0.06</c:v>
                </c:pt>
                <c:pt idx="26">
                  <c:v>3.5000000000000003E-2</c:v>
                </c:pt>
                <c:pt idx="27">
                  <c:v>3.5000000000000003E-2</c:v>
                </c:pt>
                <c:pt idx="28">
                  <c:v>5.5E-2</c:v>
                </c:pt>
                <c:pt idx="29">
                  <c:v>2.5000000000000001E-2</c:v>
                </c:pt>
                <c:pt idx="30">
                  <c:v>0.02</c:v>
                </c:pt>
                <c:pt idx="31">
                  <c:v>0.04</c:v>
                </c:pt>
                <c:pt idx="32">
                  <c:v>2.5000000000000001E-2</c:v>
                </c:pt>
                <c:pt idx="33">
                  <c:v>0.04</c:v>
                </c:pt>
                <c:pt idx="34">
                  <c:v>0.02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5.0000000000000001E-3</c:v>
                </c:pt>
                <c:pt idx="38">
                  <c:v>0.02</c:v>
                </c:pt>
                <c:pt idx="39">
                  <c:v>2.5000000000000001E-2</c:v>
                </c:pt>
                <c:pt idx="40">
                  <c:v>0.03</c:v>
                </c:pt>
                <c:pt idx="41">
                  <c:v>1.4999999999999999E-2</c:v>
                </c:pt>
                <c:pt idx="42">
                  <c:v>5.0000000000000001E-3</c:v>
                </c:pt>
                <c:pt idx="43">
                  <c:v>5.0000000000000001E-3</c:v>
                </c:pt>
                <c:pt idx="44">
                  <c:v>5.0000000000000001E-3</c:v>
                </c:pt>
                <c:pt idx="45">
                  <c:v>0</c:v>
                </c:pt>
                <c:pt idx="46">
                  <c:v>5.0000000000000001E-3</c:v>
                </c:pt>
                <c:pt idx="47">
                  <c:v>0</c:v>
                </c:pt>
                <c:pt idx="48">
                  <c:v>5.0000000000000001E-3</c:v>
                </c:pt>
                <c:pt idx="49">
                  <c:v>0</c:v>
                </c:pt>
                <c:pt idx="5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5-4FCF-824C-E4AC6F569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445056"/>
        <c:axId val="393445616"/>
      </c:barChart>
      <c:lineChart>
        <c:grouping val="standard"/>
        <c:varyColors val="0"/>
        <c:ser>
          <c:idx val="1"/>
          <c:order val="1"/>
          <c:tx>
            <c:strRef>
              <c:f>Results!$F$3</c:f>
              <c:strCache>
                <c:ptCount val="1"/>
                <c:pt idx="0">
                  <c:v>Cumulative Probability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Results!$D$4:$D$54</c:f>
              <c:numCache>
                <c:formatCode>General</c:formatCode>
                <c:ptCount val="51"/>
                <c:pt idx="0">
                  <c:v>74.31506849315069</c:v>
                </c:pt>
                <c:pt idx="1">
                  <c:v>74.582082191780827</c:v>
                </c:pt>
                <c:pt idx="2">
                  <c:v>74.849095890410965</c:v>
                </c:pt>
                <c:pt idx="3">
                  <c:v>75.116109589041102</c:v>
                </c:pt>
                <c:pt idx="4">
                  <c:v>75.383123287671239</c:v>
                </c:pt>
                <c:pt idx="5">
                  <c:v>75.650136986301376</c:v>
                </c:pt>
                <c:pt idx="6">
                  <c:v>75.917150684931514</c:v>
                </c:pt>
                <c:pt idx="7">
                  <c:v>76.184164383561651</c:v>
                </c:pt>
                <c:pt idx="8">
                  <c:v>76.451178082191788</c:v>
                </c:pt>
                <c:pt idx="9">
                  <c:v>76.718191780821925</c:v>
                </c:pt>
                <c:pt idx="10">
                  <c:v>76.985205479452063</c:v>
                </c:pt>
                <c:pt idx="11">
                  <c:v>77.2522191780822</c:v>
                </c:pt>
                <c:pt idx="12">
                  <c:v>77.519232876712337</c:v>
                </c:pt>
                <c:pt idx="13">
                  <c:v>77.786246575342474</c:v>
                </c:pt>
                <c:pt idx="14">
                  <c:v>78.053260273972612</c:v>
                </c:pt>
                <c:pt idx="15">
                  <c:v>78.320273972602749</c:v>
                </c:pt>
                <c:pt idx="16">
                  <c:v>78.587287671232886</c:v>
                </c:pt>
                <c:pt idx="17">
                  <c:v>78.854301369863023</c:v>
                </c:pt>
                <c:pt idx="18">
                  <c:v>79.121315068493161</c:v>
                </c:pt>
                <c:pt idx="19">
                  <c:v>79.388328767123298</c:v>
                </c:pt>
                <c:pt idx="20">
                  <c:v>79.655342465753435</c:v>
                </c:pt>
                <c:pt idx="21">
                  <c:v>79.922356164383572</c:v>
                </c:pt>
                <c:pt idx="22">
                  <c:v>80.18936986301371</c:v>
                </c:pt>
                <c:pt idx="23">
                  <c:v>80.456383561643847</c:v>
                </c:pt>
                <c:pt idx="24">
                  <c:v>80.723397260273984</c:v>
                </c:pt>
                <c:pt idx="25">
                  <c:v>80.990410958904121</c:v>
                </c:pt>
                <c:pt idx="26">
                  <c:v>81.257424657534258</c:v>
                </c:pt>
                <c:pt idx="27">
                  <c:v>81.524438356164396</c:v>
                </c:pt>
                <c:pt idx="28">
                  <c:v>81.791452054794533</c:v>
                </c:pt>
                <c:pt idx="29">
                  <c:v>82.05846575342467</c:v>
                </c:pt>
                <c:pt idx="30">
                  <c:v>82.325479452054807</c:v>
                </c:pt>
                <c:pt idx="31">
                  <c:v>82.592493150684945</c:v>
                </c:pt>
                <c:pt idx="32">
                  <c:v>82.859506849315082</c:v>
                </c:pt>
                <c:pt idx="33">
                  <c:v>83.126520547945219</c:v>
                </c:pt>
                <c:pt idx="34">
                  <c:v>83.393534246575356</c:v>
                </c:pt>
                <c:pt idx="35">
                  <c:v>83.660547945205494</c:v>
                </c:pt>
                <c:pt idx="36">
                  <c:v>83.927561643835631</c:v>
                </c:pt>
                <c:pt idx="37">
                  <c:v>84.194575342465768</c:v>
                </c:pt>
                <c:pt idx="38">
                  <c:v>84.461589041095905</c:v>
                </c:pt>
                <c:pt idx="39">
                  <c:v>84.728602739726043</c:v>
                </c:pt>
                <c:pt idx="40">
                  <c:v>84.99561643835618</c:v>
                </c:pt>
                <c:pt idx="41">
                  <c:v>85.262630136986317</c:v>
                </c:pt>
                <c:pt idx="42">
                  <c:v>85.529643835616454</c:v>
                </c:pt>
                <c:pt idx="43">
                  <c:v>85.796657534246592</c:v>
                </c:pt>
                <c:pt idx="44">
                  <c:v>86.063671232876729</c:v>
                </c:pt>
                <c:pt idx="45">
                  <c:v>86.330684931506866</c:v>
                </c:pt>
                <c:pt idx="46">
                  <c:v>86.597698630137003</c:v>
                </c:pt>
                <c:pt idx="47">
                  <c:v>86.864712328767141</c:v>
                </c:pt>
                <c:pt idx="48">
                  <c:v>87.131726027397278</c:v>
                </c:pt>
                <c:pt idx="49">
                  <c:v>87.398739726027415</c:v>
                </c:pt>
                <c:pt idx="50">
                  <c:v>87.665753424657538</c:v>
                </c:pt>
              </c:numCache>
            </c:numRef>
          </c:cat>
          <c:val>
            <c:numRef>
              <c:f>Results!$F$4:$F$54</c:f>
              <c:numCache>
                <c:formatCode>0.0%</c:formatCode>
                <c:ptCount val="51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0.04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9.5000000000000001E-2</c:v>
                </c:pt>
                <c:pt idx="10">
                  <c:v>0.11</c:v>
                </c:pt>
                <c:pt idx="11">
                  <c:v>0.125</c:v>
                </c:pt>
                <c:pt idx="12">
                  <c:v>0.14499999999999999</c:v>
                </c:pt>
                <c:pt idx="13">
                  <c:v>0.14499999999999999</c:v>
                </c:pt>
                <c:pt idx="14">
                  <c:v>0.15999999999999998</c:v>
                </c:pt>
                <c:pt idx="15">
                  <c:v>0.17999999999999997</c:v>
                </c:pt>
                <c:pt idx="16">
                  <c:v>0.20499999999999996</c:v>
                </c:pt>
                <c:pt idx="17">
                  <c:v>0.25499999999999995</c:v>
                </c:pt>
                <c:pt idx="18">
                  <c:v>0.27999999999999997</c:v>
                </c:pt>
                <c:pt idx="19">
                  <c:v>0.30499999999999999</c:v>
                </c:pt>
                <c:pt idx="20">
                  <c:v>0.33</c:v>
                </c:pt>
                <c:pt idx="21">
                  <c:v>0.36499999999999999</c:v>
                </c:pt>
                <c:pt idx="22">
                  <c:v>0.39500000000000002</c:v>
                </c:pt>
                <c:pt idx="23">
                  <c:v>0.42500000000000004</c:v>
                </c:pt>
                <c:pt idx="24">
                  <c:v>0.46500000000000002</c:v>
                </c:pt>
                <c:pt idx="25">
                  <c:v>0.52500000000000002</c:v>
                </c:pt>
                <c:pt idx="26">
                  <c:v>0.56000000000000005</c:v>
                </c:pt>
                <c:pt idx="27">
                  <c:v>0.59500000000000008</c:v>
                </c:pt>
                <c:pt idx="28">
                  <c:v>0.65000000000000013</c:v>
                </c:pt>
                <c:pt idx="29">
                  <c:v>0.67500000000000016</c:v>
                </c:pt>
                <c:pt idx="30">
                  <c:v>0.69500000000000017</c:v>
                </c:pt>
                <c:pt idx="31">
                  <c:v>0.73500000000000021</c:v>
                </c:pt>
                <c:pt idx="32">
                  <c:v>0.76000000000000023</c:v>
                </c:pt>
                <c:pt idx="33">
                  <c:v>0.80000000000000027</c:v>
                </c:pt>
                <c:pt idx="34">
                  <c:v>0.82000000000000028</c:v>
                </c:pt>
                <c:pt idx="35">
                  <c:v>0.84500000000000031</c:v>
                </c:pt>
                <c:pt idx="36">
                  <c:v>0.87000000000000033</c:v>
                </c:pt>
                <c:pt idx="37">
                  <c:v>0.87500000000000033</c:v>
                </c:pt>
                <c:pt idx="38">
                  <c:v>0.89500000000000035</c:v>
                </c:pt>
                <c:pt idx="39">
                  <c:v>0.92000000000000037</c:v>
                </c:pt>
                <c:pt idx="40">
                  <c:v>0.9500000000000004</c:v>
                </c:pt>
                <c:pt idx="41">
                  <c:v>0.96500000000000041</c:v>
                </c:pt>
                <c:pt idx="42">
                  <c:v>0.97000000000000042</c:v>
                </c:pt>
                <c:pt idx="43">
                  <c:v>0.97500000000000042</c:v>
                </c:pt>
                <c:pt idx="44">
                  <c:v>0.98000000000000043</c:v>
                </c:pt>
                <c:pt idx="45">
                  <c:v>0.98000000000000043</c:v>
                </c:pt>
                <c:pt idx="46">
                  <c:v>0.98500000000000043</c:v>
                </c:pt>
                <c:pt idx="47">
                  <c:v>0.98500000000000043</c:v>
                </c:pt>
                <c:pt idx="48">
                  <c:v>0.99000000000000044</c:v>
                </c:pt>
                <c:pt idx="49">
                  <c:v>0.99000000000000044</c:v>
                </c:pt>
                <c:pt idx="50">
                  <c:v>1.0000000000000004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5-4FCF-824C-E4AC6F569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446736"/>
        <c:axId val="393446176"/>
      </c:lineChart>
      <c:catAx>
        <c:axId val="393445056"/>
        <c:scaling>
          <c:orientation val="minMax"/>
        </c:scaling>
        <c:delete val="0"/>
        <c:axPos val="b"/>
        <c:title>
          <c:tx>
            <c:strRef>
              <c:f>[0]!StartData</c:f>
              <c:strCache>
                <c:ptCount val="1"/>
                <c:pt idx="0">
                  <c:v>Average Ending  Inventory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45616"/>
        <c:crosses val="autoZero"/>
        <c:auto val="1"/>
        <c:lblAlgn val="ctr"/>
        <c:lblOffset val="100"/>
        <c:noMultiLvlLbl val="0"/>
      </c:catAx>
      <c:valAx>
        <c:axId val="3934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Results!$E$3</c:f>
              <c:strCache>
                <c:ptCount val="1"/>
                <c:pt idx="0">
                  <c:v>Probability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45056"/>
        <c:crosses val="autoZero"/>
        <c:crossBetween val="between"/>
      </c:valAx>
      <c:valAx>
        <c:axId val="393446176"/>
        <c:scaling>
          <c:orientation val="minMax"/>
          <c:max val="1"/>
        </c:scaling>
        <c:delete val="0"/>
        <c:axPos val="r"/>
        <c:title>
          <c:tx>
            <c:strRef>
              <c:f>Results!$F$3</c:f>
              <c:strCache>
                <c:ptCount val="1"/>
                <c:pt idx="0">
                  <c:v>Cumulative Probability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46736"/>
        <c:crosses val="max"/>
        <c:crossBetween val="between"/>
      </c:valAx>
      <c:catAx>
        <c:axId val="393446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3446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Main!$C$5</c:f>
          <c:strCache>
            <c:ptCount val="1"/>
            <c:pt idx="0">
              <c:v>Simulated No-Stockout Probability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Results!$E$3</c:f>
              <c:strCache>
                <c:ptCount val="1"/>
                <c:pt idx="0">
                  <c:v>Probability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Results!$J$4:$J$54</c:f>
              <c:numCache>
                <c:formatCode>General</c:formatCode>
                <c:ptCount val="51"/>
                <c:pt idx="0">
                  <c:v>6.3013698630136991E-2</c:v>
                </c:pt>
                <c:pt idx="1">
                  <c:v>6.4657534246575346E-2</c:v>
                </c:pt>
                <c:pt idx="2">
                  <c:v>6.6301369863013701E-2</c:v>
                </c:pt>
                <c:pt idx="3">
                  <c:v>6.7945205479452056E-2</c:v>
                </c:pt>
                <c:pt idx="4">
                  <c:v>6.9589041095890411E-2</c:v>
                </c:pt>
                <c:pt idx="5">
                  <c:v>7.1232876712328766E-2</c:v>
                </c:pt>
                <c:pt idx="6">
                  <c:v>7.2876712328767121E-2</c:v>
                </c:pt>
                <c:pt idx="7">
                  <c:v>7.4520547945205476E-2</c:v>
                </c:pt>
                <c:pt idx="8">
                  <c:v>7.6164383561643831E-2</c:v>
                </c:pt>
                <c:pt idx="9">
                  <c:v>7.7808219178082186E-2</c:v>
                </c:pt>
                <c:pt idx="10">
                  <c:v>7.9452054794520541E-2</c:v>
                </c:pt>
                <c:pt idx="11">
                  <c:v>8.1095890410958896E-2</c:v>
                </c:pt>
                <c:pt idx="12">
                  <c:v>8.2739726027397251E-2</c:v>
                </c:pt>
                <c:pt idx="13">
                  <c:v>8.4383561643835606E-2</c:v>
                </c:pt>
                <c:pt idx="14">
                  <c:v>8.6027397260273961E-2</c:v>
                </c:pt>
                <c:pt idx="15">
                  <c:v>8.7671232876712316E-2</c:v>
                </c:pt>
                <c:pt idx="16">
                  <c:v>8.9315068493150671E-2</c:v>
                </c:pt>
                <c:pt idx="17">
                  <c:v>9.0958904109589025E-2</c:v>
                </c:pt>
                <c:pt idx="18">
                  <c:v>9.260273972602738E-2</c:v>
                </c:pt>
                <c:pt idx="19">
                  <c:v>9.4246575342465735E-2</c:v>
                </c:pt>
                <c:pt idx="20">
                  <c:v>9.589041095890409E-2</c:v>
                </c:pt>
                <c:pt idx="21">
                  <c:v>9.7534246575342445E-2</c:v>
                </c:pt>
                <c:pt idx="22">
                  <c:v>9.91780821917808E-2</c:v>
                </c:pt>
                <c:pt idx="23">
                  <c:v>0.10082191780821916</c:v>
                </c:pt>
                <c:pt idx="24">
                  <c:v>0.10246575342465751</c:v>
                </c:pt>
                <c:pt idx="25">
                  <c:v>0.10410958904109587</c:v>
                </c:pt>
                <c:pt idx="26">
                  <c:v>0.10575342465753422</c:v>
                </c:pt>
                <c:pt idx="27">
                  <c:v>0.10739726027397258</c:v>
                </c:pt>
                <c:pt idx="28">
                  <c:v>0.10904109589041093</c:v>
                </c:pt>
                <c:pt idx="29">
                  <c:v>0.11068493150684929</c:v>
                </c:pt>
                <c:pt idx="30">
                  <c:v>0.11232876712328764</c:v>
                </c:pt>
                <c:pt idx="31">
                  <c:v>0.11397260273972599</c:v>
                </c:pt>
                <c:pt idx="32">
                  <c:v>0.11561643835616435</c:v>
                </c:pt>
                <c:pt idx="33">
                  <c:v>0.1172602739726027</c:v>
                </c:pt>
                <c:pt idx="34">
                  <c:v>0.11890410958904106</c:v>
                </c:pt>
                <c:pt idx="35">
                  <c:v>0.12054794520547941</c:v>
                </c:pt>
                <c:pt idx="36">
                  <c:v>0.12219178082191777</c:v>
                </c:pt>
                <c:pt idx="37">
                  <c:v>0.12383561643835612</c:v>
                </c:pt>
                <c:pt idx="38">
                  <c:v>0.12547945205479449</c:v>
                </c:pt>
                <c:pt idx="39">
                  <c:v>0.12712328767123285</c:v>
                </c:pt>
                <c:pt idx="40">
                  <c:v>0.1287671232876712</c:v>
                </c:pt>
                <c:pt idx="41">
                  <c:v>0.13041095890410956</c:v>
                </c:pt>
                <c:pt idx="42">
                  <c:v>0.13205479452054791</c:v>
                </c:pt>
                <c:pt idx="43">
                  <c:v>0.13369863013698627</c:v>
                </c:pt>
                <c:pt idx="44">
                  <c:v>0.13534246575342462</c:v>
                </c:pt>
                <c:pt idx="45">
                  <c:v>0.13698630136986298</c:v>
                </c:pt>
                <c:pt idx="46">
                  <c:v>0.13863013698630133</c:v>
                </c:pt>
                <c:pt idx="47">
                  <c:v>0.14027397260273969</c:v>
                </c:pt>
                <c:pt idx="48">
                  <c:v>0.14191780821917804</c:v>
                </c:pt>
                <c:pt idx="49">
                  <c:v>0.1435616438356164</c:v>
                </c:pt>
                <c:pt idx="50">
                  <c:v>0.14520547945205478</c:v>
                </c:pt>
              </c:numCache>
            </c:numRef>
          </c:cat>
          <c:val>
            <c:numRef>
              <c:f>Results!$K$4:$K$54</c:f>
              <c:numCache>
                <c:formatCode>0.0%</c:formatCode>
                <c:ptCount val="51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0</c:v>
                </c:pt>
                <c:pt idx="7">
                  <c:v>0.02</c:v>
                </c:pt>
                <c:pt idx="8">
                  <c:v>0</c:v>
                </c:pt>
                <c:pt idx="9">
                  <c:v>0.05</c:v>
                </c:pt>
                <c:pt idx="10">
                  <c:v>0</c:v>
                </c:pt>
                <c:pt idx="11">
                  <c:v>0.03</c:v>
                </c:pt>
                <c:pt idx="12">
                  <c:v>4.4999999999999998E-2</c:v>
                </c:pt>
                <c:pt idx="13">
                  <c:v>0</c:v>
                </c:pt>
                <c:pt idx="14">
                  <c:v>0.05</c:v>
                </c:pt>
                <c:pt idx="15">
                  <c:v>0</c:v>
                </c:pt>
                <c:pt idx="16">
                  <c:v>0.04</c:v>
                </c:pt>
                <c:pt idx="17">
                  <c:v>6.5000000000000002E-2</c:v>
                </c:pt>
                <c:pt idx="18">
                  <c:v>0</c:v>
                </c:pt>
                <c:pt idx="19">
                  <c:v>7.0000000000000007E-2</c:v>
                </c:pt>
                <c:pt idx="20">
                  <c:v>0</c:v>
                </c:pt>
                <c:pt idx="21">
                  <c:v>0.04</c:v>
                </c:pt>
                <c:pt idx="22">
                  <c:v>0.09</c:v>
                </c:pt>
                <c:pt idx="23">
                  <c:v>0</c:v>
                </c:pt>
                <c:pt idx="24">
                  <c:v>7.0000000000000007E-2</c:v>
                </c:pt>
                <c:pt idx="25">
                  <c:v>0</c:v>
                </c:pt>
                <c:pt idx="26">
                  <c:v>0.04</c:v>
                </c:pt>
                <c:pt idx="27">
                  <c:v>6.5000000000000002E-2</c:v>
                </c:pt>
                <c:pt idx="28">
                  <c:v>0</c:v>
                </c:pt>
                <c:pt idx="29">
                  <c:v>2.5000000000000001E-2</c:v>
                </c:pt>
                <c:pt idx="30">
                  <c:v>0</c:v>
                </c:pt>
                <c:pt idx="31">
                  <c:v>4.4999999999999998E-2</c:v>
                </c:pt>
                <c:pt idx="32">
                  <c:v>2.5000000000000001E-2</c:v>
                </c:pt>
                <c:pt idx="33">
                  <c:v>0</c:v>
                </c:pt>
                <c:pt idx="34">
                  <c:v>0.05</c:v>
                </c:pt>
                <c:pt idx="35">
                  <c:v>0</c:v>
                </c:pt>
                <c:pt idx="36">
                  <c:v>3.5000000000000003E-2</c:v>
                </c:pt>
                <c:pt idx="37">
                  <c:v>0.03</c:v>
                </c:pt>
                <c:pt idx="38">
                  <c:v>0</c:v>
                </c:pt>
                <c:pt idx="39">
                  <c:v>3.5000000000000003E-2</c:v>
                </c:pt>
                <c:pt idx="40">
                  <c:v>0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0.01</c:v>
                </c:pt>
                <c:pt idx="47">
                  <c:v>0</c:v>
                </c:pt>
                <c:pt idx="48">
                  <c:v>0</c:v>
                </c:pt>
                <c:pt idx="49">
                  <c:v>5.0000000000000001E-3</c:v>
                </c:pt>
                <c:pt idx="5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0-4561-961D-E1A5FFA45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9514208"/>
        <c:axId val="499514768"/>
      </c:barChart>
      <c:lineChart>
        <c:grouping val="standard"/>
        <c:varyColors val="0"/>
        <c:ser>
          <c:idx val="1"/>
          <c:order val="1"/>
          <c:tx>
            <c:strRef>
              <c:f>Results!$F$3</c:f>
              <c:strCache>
                <c:ptCount val="1"/>
                <c:pt idx="0">
                  <c:v>Cumulative Probability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Results!$J$4:$J$54</c:f>
              <c:numCache>
                <c:formatCode>General</c:formatCode>
                <c:ptCount val="51"/>
                <c:pt idx="0">
                  <c:v>6.3013698630136991E-2</c:v>
                </c:pt>
                <c:pt idx="1">
                  <c:v>6.4657534246575346E-2</c:v>
                </c:pt>
                <c:pt idx="2">
                  <c:v>6.6301369863013701E-2</c:v>
                </c:pt>
                <c:pt idx="3">
                  <c:v>6.7945205479452056E-2</c:v>
                </c:pt>
                <c:pt idx="4">
                  <c:v>6.9589041095890411E-2</c:v>
                </c:pt>
                <c:pt idx="5">
                  <c:v>7.1232876712328766E-2</c:v>
                </c:pt>
                <c:pt idx="6">
                  <c:v>7.2876712328767121E-2</c:v>
                </c:pt>
                <c:pt idx="7">
                  <c:v>7.4520547945205476E-2</c:v>
                </c:pt>
                <c:pt idx="8">
                  <c:v>7.6164383561643831E-2</c:v>
                </c:pt>
                <c:pt idx="9">
                  <c:v>7.7808219178082186E-2</c:v>
                </c:pt>
                <c:pt idx="10">
                  <c:v>7.9452054794520541E-2</c:v>
                </c:pt>
                <c:pt idx="11">
                  <c:v>8.1095890410958896E-2</c:v>
                </c:pt>
                <c:pt idx="12">
                  <c:v>8.2739726027397251E-2</c:v>
                </c:pt>
                <c:pt idx="13">
                  <c:v>8.4383561643835606E-2</c:v>
                </c:pt>
                <c:pt idx="14">
                  <c:v>8.6027397260273961E-2</c:v>
                </c:pt>
                <c:pt idx="15">
                  <c:v>8.7671232876712316E-2</c:v>
                </c:pt>
                <c:pt idx="16">
                  <c:v>8.9315068493150671E-2</c:v>
                </c:pt>
                <c:pt idx="17">
                  <c:v>9.0958904109589025E-2</c:v>
                </c:pt>
                <c:pt idx="18">
                  <c:v>9.260273972602738E-2</c:v>
                </c:pt>
                <c:pt idx="19">
                  <c:v>9.4246575342465735E-2</c:v>
                </c:pt>
                <c:pt idx="20">
                  <c:v>9.589041095890409E-2</c:v>
                </c:pt>
                <c:pt idx="21">
                  <c:v>9.7534246575342445E-2</c:v>
                </c:pt>
                <c:pt idx="22">
                  <c:v>9.91780821917808E-2</c:v>
                </c:pt>
                <c:pt idx="23">
                  <c:v>0.10082191780821916</c:v>
                </c:pt>
                <c:pt idx="24">
                  <c:v>0.10246575342465751</c:v>
                </c:pt>
                <c:pt idx="25">
                  <c:v>0.10410958904109587</c:v>
                </c:pt>
                <c:pt idx="26">
                  <c:v>0.10575342465753422</c:v>
                </c:pt>
                <c:pt idx="27">
                  <c:v>0.10739726027397258</c:v>
                </c:pt>
                <c:pt idx="28">
                  <c:v>0.10904109589041093</c:v>
                </c:pt>
                <c:pt idx="29">
                  <c:v>0.11068493150684929</c:v>
                </c:pt>
                <c:pt idx="30">
                  <c:v>0.11232876712328764</c:v>
                </c:pt>
                <c:pt idx="31">
                  <c:v>0.11397260273972599</c:v>
                </c:pt>
                <c:pt idx="32">
                  <c:v>0.11561643835616435</c:v>
                </c:pt>
                <c:pt idx="33">
                  <c:v>0.1172602739726027</c:v>
                </c:pt>
                <c:pt idx="34">
                  <c:v>0.11890410958904106</c:v>
                </c:pt>
                <c:pt idx="35">
                  <c:v>0.12054794520547941</c:v>
                </c:pt>
                <c:pt idx="36">
                  <c:v>0.12219178082191777</c:v>
                </c:pt>
                <c:pt idx="37">
                  <c:v>0.12383561643835612</c:v>
                </c:pt>
                <c:pt idx="38">
                  <c:v>0.12547945205479449</c:v>
                </c:pt>
                <c:pt idx="39">
                  <c:v>0.12712328767123285</c:v>
                </c:pt>
                <c:pt idx="40">
                  <c:v>0.1287671232876712</c:v>
                </c:pt>
                <c:pt idx="41">
                  <c:v>0.13041095890410956</c:v>
                </c:pt>
                <c:pt idx="42">
                  <c:v>0.13205479452054791</c:v>
                </c:pt>
                <c:pt idx="43">
                  <c:v>0.13369863013698627</c:v>
                </c:pt>
                <c:pt idx="44">
                  <c:v>0.13534246575342462</c:v>
                </c:pt>
                <c:pt idx="45">
                  <c:v>0.13698630136986298</c:v>
                </c:pt>
                <c:pt idx="46">
                  <c:v>0.13863013698630133</c:v>
                </c:pt>
                <c:pt idx="47">
                  <c:v>0.14027397260273969</c:v>
                </c:pt>
                <c:pt idx="48">
                  <c:v>0.14191780821917804</c:v>
                </c:pt>
                <c:pt idx="49">
                  <c:v>0.1435616438356164</c:v>
                </c:pt>
                <c:pt idx="50">
                  <c:v>0.14520547945205478</c:v>
                </c:pt>
              </c:numCache>
            </c:numRef>
          </c:cat>
          <c:val>
            <c:numRef>
              <c:f>Results!$L$4:$L$54</c:f>
              <c:numCache>
                <c:formatCode>0.0%</c:formatCode>
                <c:ptCount val="51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0.03</c:v>
                </c:pt>
                <c:pt idx="6">
                  <c:v>0.03</c:v>
                </c:pt>
                <c:pt idx="7">
                  <c:v>0.05</c:v>
                </c:pt>
                <c:pt idx="8">
                  <c:v>0.05</c:v>
                </c:pt>
                <c:pt idx="9">
                  <c:v>0.1</c:v>
                </c:pt>
                <c:pt idx="10">
                  <c:v>0.1</c:v>
                </c:pt>
                <c:pt idx="11">
                  <c:v>0.13</c:v>
                </c:pt>
                <c:pt idx="12">
                  <c:v>0.17499999999999999</c:v>
                </c:pt>
                <c:pt idx="13">
                  <c:v>0.17499999999999999</c:v>
                </c:pt>
                <c:pt idx="14">
                  <c:v>0.22499999999999998</c:v>
                </c:pt>
                <c:pt idx="15">
                  <c:v>0.22499999999999998</c:v>
                </c:pt>
                <c:pt idx="16">
                  <c:v>0.26499999999999996</c:v>
                </c:pt>
                <c:pt idx="17">
                  <c:v>0.32999999999999996</c:v>
                </c:pt>
                <c:pt idx="18">
                  <c:v>0.32999999999999996</c:v>
                </c:pt>
                <c:pt idx="19">
                  <c:v>0.39999999999999997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0.52999999999999992</c:v>
                </c:pt>
                <c:pt idx="23">
                  <c:v>0.52999999999999992</c:v>
                </c:pt>
                <c:pt idx="24">
                  <c:v>0.59999999999999987</c:v>
                </c:pt>
                <c:pt idx="25">
                  <c:v>0.59999999999999987</c:v>
                </c:pt>
                <c:pt idx="26">
                  <c:v>0.6399999999999999</c:v>
                </c:pt>
                <c:pt idx="27">
                  <c:v>0.70499999999999985</c:v>
                </c:pt>
                <c:pt idx="28">
                  <c:v>0.70499999999999985</c:v>
                </c:pt>
                <c:pt idx="29">
                  <c:v>0.72999999999999987</c:v>
                </c:pt>
                <c:pt idx="30">
                  <c:v>0.72999999999999987</c:v>
                </c:pt>
                <c:pt idx="31">
                  <c:v>0.77499999999999991</c:v>
                </c:pt>
                <c:pt idx="32">
                  <c:v>0.79999999999999993</c:v>
                </c:pt>
                <c:pt idx="33">
                  <c:v>0.79999999999999993</c:v>
                </c:pt>
                <c:pt idx="34">
                  <c:v>0.85</c:v>
                </c:pt>
                <c:pt idx="35">
                  <c:v>0.85</c:v>
                </c:pt>
                <c:pt idx="36">
                  <c:v>0.88500000000000001</c:v>
                </c:pt>
                <c:pt idx="37">
                  <c:v>0.91500000000000004</c:v>
                </c:pt>
                <c:pt idx="38">
                  <c:v>0.91500000000000004</c:v>
                </c:pt>
                <c:pt idx="39">
                  <c:v>0.95000000000000007</c:v>
                </c:pt>
                <c:pt idx="40">
                  <c:v>0.95000000000000007</c:v>
                </c:pt>
                <c:pt idx="41">
                  <c:v>0.96500000000000008</c:v>
                </c:pt>
                <c:pt idx="42">
                  <c:v>0.98000000000000009</c:v>
                </c:pt>
                <c:pt idx="43">
                  <c:v>0.98000000000000009</c:v>
                </c:pt>
                <c:pt idx="44">
                  <c:v>0.98000000000000009</c:v>
                </c:pt>
                <c:pt idx="45">
                  <c:v>0.98000000000000009</c:v>
                </c:pt>
                <c:pt idx="46">
                  <c:v>0.9900000000000001</c:v>
                </c:pt>
                <c:pt idx="47">
                  <c:v>0.9900000000000001</c:v>
                </c:pt>
                <c:pt idx="48">
                  <c:v>0.9900000000000001</c:v>
                </c:pt>
                <c:pt idx="49">
                  <c:v>0.99500000000000011</c:v>
                </c:pt>
                <c:pt idx="5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90-4561-961D-E1A5FFA45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37600"/>
        <c:axId val="499537040"/>
      </c:lineChart>
      <c:catAx>
        <c:axId val="499514208"/>
        <c:scaling>
          <c:orientation val="minMax"/>
        </c:scaling>
        <c:delete val="0"/>
        <c:axPos val="b"/>
        <c:title>
          <c:tx>
            <c:strRef>
              <c:f>Main!$C$5</c:f>
              <c:strCache>
                <c:ptCount val="1"/>
                <c:pt idx="0">
                  <c:v>Simulated No-Stockout Probability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14768"/>
        <c:crosses val="autoZero"/>
        <c:auto val="1"/>
        <c:lblAlgn val="ctr"/>
        <c:lblOffset val="100"/>
        <c:noMultiLvlLbl val="0"/>
      </c:catAx>
      <c:valAx>
        <c:axId val="49951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Results!$E$3</c:f>
              <c:strCache>
                <c:ptCount val="1"/>
                <c:pt idx="0">
                  <c:v>Probability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14208"/>
        <c:crosses val="autoZero"/>
        <c:crossBetween val="between"/>
      </c:valAx>
      <c:valAx>
        <c:axId val="499537040"/>
        <c:scaling>
          <c:orientation val="minMax"/>
          <c:max val="1"/>
        </c:scaling>
        <c:delete val="0"/>
        <c:axPos val="r"/>
        <c:title>
          <c:tx>
            <c:strRef>
              <c:f>Results!$F$3</c:f>
              <c:strCache>
                <c:ptCount val="1"/>
                <c:pt idx="0">
                  <c:v>Cumulative Probability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37600"/>
        <c:crosses val="max"/>
        <c:crossBetween val="between"/>
      </c:valAx>
      <c:catAx>
        <c:axId val="499537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537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Main!$D$5</c:f>
          <c:strCache>
            <c:ptCount val="1"/>
            <c:pt idx="0">
              <c:v>Weighted Average Fill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Results!$E$3</c:f>
              <c:strCache>
                <c:ptCount val="1"/>
                <c:pt idx="0">
                  <c:v>Probability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Results!$P$4:$P$54</c:f>
              <c:numCache>
                <c:formatCode>General</c:formatCode>
                <c:ptCount val="51"/>
                <c:pt idx="0">
                  <c:v>0.99178595317725748</c:v>
                </c:pt>
                <c:pt idx="1">
                  <c:v>0.99189319496411421</c:v>
                </c:pt>
                <c:pt idx="2">
                  <c:v>0.99200043675097094</c:v>
                </c:pt>
                <c:pt idx="3">
                  <c:v>0.99210767853782766</c:v>
                </c:pt>
                <c:pt idx="4">
                  <c:v>0.99221492032468439</c:v>
                </c:pt>
                <c:pt idx="5">
                  <c:v>0.99232216211154112</c:v>
                </c:pt>
                <c:pt idx="6">
                  <c:v>0.99242940389839784</c:v>
                </c:pt>
                <c:pt idx="7">
                  <c:v>0.99253664568525457</c:v>
                </c:pt>
                <c:pt idx="8">
                  <c:v>0.9926438874721113</c:v>
                </c:pt>
                <c:pt idx="9">
                  <c:v>0.99275112925896802</c:v>
                </c:pt>
                <c:pt idx="10">
                  <c:v>0.99285837104582475</c:v>
                </c:pt>
                <c:pt idx="11">
                  <c:v>0.99296561283268148</c:v>
                </c:pt>
                <c:pt idx="12">
                  <c:v>0.9930728546195382</c:v>
                </c:pt>
                <c:pt idx="13">
                  <c:v>0.99318009640639493</c:v>
                </c:pt>
                <c:pt idx="14">
                  <c:v>0.99328733819325166</c:v>
                </c:pt>
                <c:pt idx="15">
                  <c:v>0.99339457998010838</c:v>
                </c:pt>
                <c:pt idx="16">
                  <c:v>0.99350182176696511</c:v>
                </c:pt>
                <c:pt idx="17">
                  <c:v>0.99360906355382184</c:v>
                </c:pt>
                <c:pt idx="18">
                  <c:v>0.99371630534067856</c:v>
                </c:pt>
                <c:pt idx="19">
                  <c:v>0.99382354712753529</c:v>
                </c:pt>
                <c:pt idx="20">
                  <c:v>0.99393078891439202</c:v>
                </c:pt>
                <c:pt idx="21">
                  <c:v>0.99403803070124874</c:v>
                </c:pt>
                <c:pt idx="22">
                  <c:v>0.99414527248810547</c:v>
                </c:pt>
                <c:pt idx="23">
                  <c:v>0.9942525142749622</c:v>
                </c:pt>
                <c:pt idx="24">
                  <c:v>0.99435975606181892</c:v>
                </c:pt>
                <c:pt idx="25">
                  <c:v>0.99446699784867565</c:v>
                </c:pt>
                <c:pt idx="26">
                  <c:v>0.99457423963553238</c:v>
                </c:pt>
                <c:pt idx="27">
                  <c:v>0.9946814814223891</c:v>
                </c:pt>
                <c:pt idx="28">
                  <c:v>0.99478872320924583</c:v>
                </c:pt>
                <c:pt idx="29">
                  <c:v>0.99489596499610256</c:v>
                </c:pt>
                <c:pt idx="30">
                  <c:v>0.99500320678295928</c:v>
                </c:pt>
                <c:pt idx="31">
                  <c:v>0.99511044856981601</c:v>
                </c:pt>
                <c:pt idx="32">
                  <c:v>0.99521769035667274</c:v>
                </c:pt>
                <c:pt idx="33">
                  <c:v>0.99532493214352946</c:v>
                </c:pt>
                <c:pt idx="34">
                  <c:v>0.99543217393038619</c:v>
                </c:pt>
                <c:pt idx="35">
                  <c:v>0.99553941571724291</c:v>
                </c:pt>
                <c:pt idx="36">
                  <c:v>0.99564665750409964</c:v>
                </c:pt>
                <c:pt idx="37">
                  <c:v>0.99575389929095637</c:v>
                </c:pt>
                <c:pt idx="38">
                  <c:v>0.99586114107781309</c:v>
                </c:pt>
                <c:pt idx="39">
                  <c:v>0.99596838286466982</c:v>
                </c:pt>
                <c:pt idx="40">
                  <c:v>0.99607562465152655</c:v>
                </c:pt>
                <c:pt idx="41">
                  <c:v>0.99618286643838327</c:v>
                </c:pt>
                <c:pt idx="42">
                  <c:v>0.99629010822524</c:v>
                </c:pt>
                <c:pt idx="43">
                  <c:v>0.99639735001209673</c:v>
                </c:pt>
                <c:pt idx="44">
                  <c:v>0.99650459179895345</c:v>
                </c:pt>
                <c:pt idx="45">
                  <c:v>0.99661183358581018</c:v>
                </c:pt>
                <c:pt idx="46">
                  <c:v>0.99671907537266691</c:v>
                </c:pt>
                <c:pt idx="47">
                  <c:v>0.99682631715952363</c:v>
                </c:pt>
                <c:pt idx="48">
                  <c:v>0.99693355894638036</c:v>
                </c:pt>
                <c:pt idx="49">
                  <c:v>0.99704080073323709</c:v>
                </c:pt>
                <c:pt idx="50">
                  <c:v>0.99714804252009337</c:v>
                </c:pt>
              </c:numCache>
            </c:numRef>
          </c:cat>
          <c:val>
            <c:numRef>
              <c:f>Results!$Q$4:$Q$54</c:f>
              <c:numCache>
                <c:formatCode>0.0%</c:formatCode>
                <c:ptCount val="51"/>
                <c:pt idx="0">
                  <c:v>5.0000000000000001E-3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5.0000000000000001E-3</c:v>
                </c:pt>
                <c:pt idx="6">
                  <c:v>0</c:v>
                </c:pt>
                <c:pt idx="7">
                  <c:v>5.0000000000000001E-3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5.5E-2</c:v>
                </c:pt>
                <c:pt idx="20">
                  <c:v>0.02</c:v>
                </c:pt>
                <c:pt idx="21">
                  <c:v>2.5000000000000001E-2</c:v>
                </c:pt>
                <c:pt idx="22">
                  <c:v>0.02</c:v>
                </c:pt>
                <c:pt idx="23">
                  <c:v>3.5000000000000003E-2</c:v>
                </c:pt>
                <c:pt idx="24">
                  <c:v>3.5000000000000003E-2</c:v>
                </c:pt>
                <c:pt idx="25">
                  <c:v>0.04</c:v>
                </c:pt>
                <c:pt idx="26">
                  <c:v>5.5E-2</c:v>
                </c:pt>
                <c:pt idx="27">
                  <c:v>2.5000000000000001E-2</c:v>
                </c:pt>
                <c:pt idx="28">
                  <c:v>0.03</c:v>
                </c:pt>
                <c:pt idx="29">
                  <c:v>0.03</c:v>
                </c:pt>
                <c:pt idx="30">
                  <c:v>0.05</c:v>
                </c:pt>
                <c:pt idx="31">
                  <c:v>4.4999999999999998E-2</c:v>
                </c:pt>
                <c:pt idx="32">
                  <c:v>4.4999999999999998E-2</c:v>
                </c:pt>
                <c:pt idx="33">
                  <c:v>3.5000000000000003E-2</c:v>
                </c:pt>
                <c:pt idx="34">
                  <c:v>3.5000000000000003E-2</c:v>
                </c:pt>
                <c:pt idx="35">
                  <c:v>0.04</c:v>
                </c:pt>
                <c:pt idx="36">
                  <c:v>4.4999999999999998E-2</c:v>
                </c:pt>
                <c:pt idx="37">
                  <c:v>2.5000000000000001E-2</c:v>
                </c:pt>
                <c:pt idx="38">
                  <c:v>5.5E-2</c:v>
                </c:pt>
                <c:pt idx="39">
                  <c:v>2.5000000000000001E-2</c:v>
                </c:pt>
                <c:pt idx="40">
                  <c:v>0.02</c:v>
                </c:pt>
                <c:pt idx="41">
                  <c:v>1.4999999999999999E-2</c:v>
                </c:pt>
                <c:pt idx="42">
                  <c:v>0</c:v>
                </c:pt>
                <c:pt idx="43">
                  <c:v>1.4999999999999999E-2</c:v>
                </c:pt>
                <c:pt idx="44">
                  <c:v>0.01</c:v>
                </c:pt>
                <c:pt idx="45">
                  <c:v>0.02</c:v>
                </c:pt>
                <c:pt idx="46">
                  <c:v>1.4999999999999999E-2</c:v>
                </c:pt>
                <c:pt idx="47">
                  <c:v>5.0000000000000001E-3</c:v>
                </c:pt>
                <c:pt idx="48">
                  <c:v>0</c:v>
                </c:pt>
                <c:pt idx="49">
                  <c:v>5.0000000000000001E-3</c:v>
                </c:pt>
                <c:pt idx="5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2-44C4-B5EC-F1CCE758F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776848"/>
        <c:axId val="500777408"/>
      </c:barChart>
      <c:lineChart>
        <c:grouping val="standard"/>
        <c:varyColors val="0"/>
        <c:ser>
          <c:idx val="1"/>
          <c:order val="1"/>
          <c:tx>
            <c:strRef>
              <c:f>Results!$F$3</c:f>
              <c:strCache>
                <c:ptCount val="1"/>
                <c:pt idx="0">
                  <c:v>Cumulative Probability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Results!$P$4:$P$54</c:f>
              <c:numCache>
                <c:formatCode>General</c:formatCode>
                <c:ptCount val="51"/>
                <c:pt idx="0">
                  <c:v>0.99178595317725748</c:v>
                </c:pt>
                <c:pt idx="1">
                  <c:v>0.99189319496411421</c:v>
                </c:pt>
                <c:pt idx="2">
                  <c:v>0.99200043675097094</c:v>
                </c:pt>
                <c:pt idx="3">
                  <c:v>0.99210767853782766</c:v>
                </c:pt>
                <c:pt idx="4">
                  <c:v>0.99221492032468439</c:v>
                </c:pt>
                <c:pt idx="5">
                  <c:v>0.99232216211154112</c:v>
                </c:pt>
                <c:pt idx="6">
                  <c:v>0.99242940389839784</c:v>
                </c:pt>
                <c:pt idx="7">
                  <c:v>0.99253664568525457</c:v>
                </c:pt>
                <c:pt idx="8">
                  <c:v>0.9926438874721113</c:v>
                </c:pt>
                <c:pt idx="9">
                  <c:v>0.99275112925896802</c:v>
                </c:pt>
                <c:pt idx="10">
                  <c:v>0.99285837104582475</c:v>
                </c:pt>
                <c:pt idx="11">
                  <c:v>0.99296561283268148</c:v>
                </c:pt>
                <c:pt idx="12">
                  <c:v>0.9930728546195382</c:v>
                </c:pt>
                <c:pt idx="13">
                  <c:v>0.99318009640639493</c:v>
                </c:pt>
                <c:pt idx="14">
                  <c:v>0.99328733819325166</c:v>
                </c:pt>
                <c:pt idx="15">
                  <c:v>0.99339457998010838</c:v>
                </c:pt>
                <c:pt idx="16">
                  <c:v>0.99350182176696511</c:v>
                </c:pt>
                <c:pt idx="17">
                  <c:v>0.99360906355382184</c:v>
                </c:pt>
                <c:pt idx="18">
                  <c:v>0.99371630534067856</c:v>
                </c:pt>
                <c:pt idx="19">
                  <c:v>0.99382354712753529</c:v>
                </c:pt>
                <c:pt idx="20">
                  <c:v>0.99393078891439202</c:v>
                </c:pt>
                <c:pt idx="21">
                  <c:v>0.99403803070124874</c:v>
                </c:pt>
                <c:pt idx="22">
                  <c:v>0.99414527248810547</c:v>
                </c:pt>
                <c:pt idx="23">
                  <c:v>0.9942525142749622</c:v>
                </c:pt>
                <c:pt idx="24">
                  <c:v>0.99435975606181892</c:v>
                </c:pt>
                <c:pt idx="25">
                  <c:v>0.99446699784867565</c:v>
                </c:pt>
                <c:pt idx="26">
                  <c:v>0.99457423963553238</c:v>
                </c:pt>
                <c:pt idx="27">
                  <c:v>0.9946814814223891</c:v>
                </c:pt>
                <c:pt idx="28">
                  <c:v>0.99478872320924583</c:v>
                </c:pt>
                <c:pt idx="29">
                  <c:v>0.99489596499610256</c:v>
                </c:pt>
                <c:pt idx="30">
                  <c:v>0.99500320678295928</c:v>
                </c:pt>
                <c:pt idx="31">
                  <c:v>0.99511044856981601</c:v>
                </c:pt>
                <c:pt idx="32">
                  <c:v>0.99521769035667274</c:v>
                </c:pt>
                <c:pt idx="33">
                  <c:v>0.99532493214352946</c:v>
                </c:pt>
                <c:pt idx="34">
                  <c:v>0.99543217393038619</c:v>
                </c:pt>
                <c:pt idx="35">
                  <c:v>0.99553941571724291</c:v>
                </c:pt>
                <c:pt idx="36">
                  <c:v>0.99564665750409964</c:v>
                </c:pt>
                <c:pt idx="37">
                  <c:v>0.99575389929095637</c:v>
                </c:pt>
                <c:pt idx="38">
                  <c:v>0.99586114107781309</c:v>
                </c:pt>
                <c:pt idx="39">
                  <c:v>0.99596838286466982</c:v>
                </c:pt>
                <c:pt idx="40">
                  <c:v>0.99607562465152655</c:v>
                </c:pt>
                <c:pt idx="41">
                  <c:v>0.99618286643838327</c:v>
                </c:pt>
                <c:pt idx="42">
                  <c:v>0.99629010822524</c:v>
                </c:pt>
                <c:pt idx="43">
                  <c:v>0.99639735001209673</c:v>
                </c:pt>
                <c:pt idx="44">
                  <c:v>0.99650459179895345</c:v>
                </c:pt>
                <c:pt idx="45">
                  <c:v>0.99661183358581018</c:v>
                </c:pt>
                <c:pt idx="46">
                  <c:v>0.99671907537266691</c:v>
                </c:pt>
                <c:pt idx="47">
                  <c:v>0.99682631715952363</c:v>
                </c:pt>
                <c:pt idx="48">
                  <c:v>0.99693355894638036</c:v>
                </c:pt>
                <c:pt idx="49">
                  <c:v>0.99704080073323709</c:v>
                </c:pt>
                <c:pt idx="50">
                  <c:v>0.99714804252009337</c:v>
                </c:pt>
              </c:numCache>
            </c:numRef>
          </c:cat>
          <c:val>
            <c:numRef>
              <c:f>Results!$R$4:$R$54</c:f>
              <c:numCache>
                <c:formatCode>0.0%</c:formatCode>
                <c:ptCount val="51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0.01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2.5000000000000001E-2</c:v>
                </c:pt>
                <c:pt idx="11">
                  <c:v>3.0000000000000002E-2</c:v>
                </c:pt>
                <c:pt idx="12">
                  <c:v>0.04</c:v>
                </c:pt>
                <c:pt idx="13">
                  <c:v>0.05</c:v>
                </c:pt>
                <c:pt idx="14">
                  <c:v>6.0000000000000005E-2</c:v>
                </c:pt>
                <c:pt idx="15">
                  <c:v>7.0000000000000007E-2</c:v>
                </c:pt>
                <c:pt idx="16">
                  <c:v>0.08</c:v>
                </c:pt>
                <c:pt idx="17">
                  <c:v>0.09</c:v>
                </c:pt>
                <c:pt idx="18">
                  <c:v>0.12</c:v>
                </c:pt>
                <c:pt idx="19">
                  <c:v>0.17499999999999999</c:v>
                </c:pt>
                <c:pt idx="20">
                  <c:v>0.19499999999999998</c:v>
                </c:pt>
                <c:pt idx="21">
                  <c:v>0.21999999999999997</c:v>
                </c:pt>
                <c:pt idx="22">
                  <c:v>0.23999999999999996</c:v>
                </c:pt>
                <c:pt idx="23">
                  <c:v>0.27499999999999997</c:v>
                </c:pt>
                <c:pt idx="24">
                  <c:v>0.30999999999999994</c:v>
                </c:pt>
                <c:pt idx="25">
                  <c:v>0.34999999999999992</c:v>
                </c:pt>
                <c:pt idx="26">
                  <c:v>0.40499999999999992</c:v>
                </c:pt>
                <c:pt idx="27">
                  <c:v>0.42999999999999994</c:v>
                </c:pt>
                <c:pt idx="28">
                  <c:v>0.45999999999999996</c:v>
                </c:pt>
                <c:pt idx="29">
                  <c:v>0.49</c:v>
                </c:pt>
                <c:pt idx="30">
                  <c:v>0.54</c:v>
                </c:pt>
                <c:pt idx="31">
                  <c:v>0.58500000000000008</c:v>
                </c:pt>
                <c:pt idx="32">
                  <c:v>0.63000000000000012</c:v>
                </c:pt>
                <c:pt idx="33">
                  <c:v>0.66500000000000015</c:v>
                </c:pt>
                <c:pt idx="34">
                  <c:v>0.70000000000000018</c:v>
                </c:pt>
                <c:pt idx="35">
                  <c:v>0.74000000000000021</c:v>
                </c:pt>
                <c:pt idx="36">
                  <c:v>0.78500000000000025</c:v>
                </c:pt>
                <c:pt idx="37">
                  <c:v>0.81000000000000028</c:v>
                </c:pt>
                <c:pt idx="38">
                  <c:v>0.86500000000000032</c:v>
                </c:pt>
                <c:pt idx="39">
                  <c:v>0.89000000000000035</c:v>
                </c:pt>
                <c:pt idx="40">
                  <c:v>0.91000000000000036</c:v>
                </c:pt>
                <c:pt idx="41">
                  <c:v>0.92500000000000038</c:v>
                </c:pt>
                <c:pt idx="42">
                  <c:v>0.92500000000000038</c:v>
                </c:pt>
                <c:pt idx="43">
                  <c:v>0.94000000000000039</c:v>
                </c:pt>
                <c:pt idx="44">
                  <c:v>0.9500000000000004</c:v>
                </c:pt>
                <c:pt idx="45">
                  <c:v>0.97000000000000042</c:v>
                </c:pt>
                <c:pt idx="46">
                  <c:v>0.98500000000000043</c:v>
                </c:pt>
                <c:pt idx="47">
                  <c:v>0.99000000000000044</c:v>
                </c:pt>
                <c:pt idx="48">
                  <c:v>0.99000000000000044</c:v>
                </c:pt>
                <c:pt idx="49">
                  <c:v>0.99500000000000044</c:v>
                </c:pt>
                <c:pt idx="50">
                  <c:v>1.0000000000000004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B2-44C4-B5EC-F1CCE758F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78528"/>
        <c:axId val="500777968"/>
      </c:lineChart>
      <c:catAx>
        <c:axId val="500776848"/>
        <c:scaling>
          <c:orientation val="minMax"/>
        </c:scaling>
        <c:delete val="0"/>
        <c:axPos val="b"/>
        <c:title>
          <c:tx>
            <c:strRef>
              <c:f>Main!$D$5</c:f>
              <c:strCache>
                <c:ptCount val="1"/>
                <c:pt idx="0">
                  <c:v>Weighted Average Fill Rate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77408"/>
        <c:crosses val="autoZero"/>
        <c:auto val="1"/>
        <c:lblAlgn val="ctr"/>
        <c:lblOffset val="100"/>
        <c:noMultiLvlLbl val="0"/>
      </c:catAx>
      <c:valAx>
        <c:axId val="50077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Results!$E$3</c:f>
              <c:strCache>
                <c:ptCount val="1"/>
                <c:pt idx="0">
                  <c:v>Probability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76848"/>
        <c:crosses val="autoZero"/>
        <c:crossBetween val="between"/>
      </c:valAx>
      <c:valAx>
        <c:axId val="500777968"/>
        <c:scaling>
          <c:orientation val="minMax"/>
          <c:max val="1"/>
        </c:scaling>
        <c:delete val="0"/>
        <c:axPos val="r"/>
        <c:title>
          <c:tx>
            <c:strRef>
              <c:f>Results!$F$3</c:f>
              <c:strCache>
                <c:ptCount val="1"/>
                <c:pt idx="0">
                  <c:v>Cumulative Probability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78528"/>
        <c:crosses val="max"/>
        <c:crossBetween val="between"/>
      </c:valAx>
      <c:catAx>
        <c:axId val="500778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0777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217981</xdr:colOff>
      <xdr:row>22</xdr:row>
      <xdr:rowOff>75667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bg1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0"/>
          <a:ext cx="8752381" cy="42666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23</xdr:row>
          <xdr:rowOff>85725</xdr:rowOff>
        </xdr:from>
        <xdr:to>
          <xdr:col>8</xdr:col>
          <xdr:colOff>381000</xdr:colOff>
          <xdr:row>25</xdr:row>
          <xdr:rowOff>133350</xdr:rowOff>
        </xdr:to>
        <xdr:sp macro="" textlink="">
          <xdr:nvSpPr>
            <xdr:cNvPr id="1025" name="btnGetStarte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1</xdr:row>
          <xdr:rowOff>95250</xdr:rowOff>
        </xdr:from>
        <xdr:to>
          <xdr:col>7</xdr:col>
          <xdr:colOff>28575</xdr:colOff>
          <xdr:row>3</xdr:row>
          <xdr:rowOff>0</xdr:rowOff>
        </xdr:to>
        <xdr:sp macro="" textlink="">
          <xdr:nvSpPr>
            <xdr:cNvPr id="3073" name="btnSimulat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47624</xdr:colOff>
      <xdr:row>4</xdr:row>
      <xdr:rowOff>76200</xdr:rowOff>
    </xdr:from>
    <xdr:to>
      <xdr:col>9</xdr:col>
      <xdr:colOff>495299</xdr:colOff>
      <xdr:row>18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</xdr:colOff>
      <xdr:row>18</xdr:row>
      <xdr:rowOff>57150</xdr:rowOff>
    </xdr:from>
    <xdr:to>
      <xdr:col>9</xdr:col>
      <xdr:colOff>485775</xdr:colOff>
      <xdr:row>33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542925</xdr:colOff>
      <xdr:row>4</xdr:row>
      <xdr:rowOff>76200</xdr:rowOff>
    </xdr:from>
    <xdr:to>
      <xdr:col>18</xdr:col>
      <xdr:colOff>285750</xdr:colOff>
      <xdr:row>18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Explain"/>
  <dimension ref="A1"/>
  <sheetViews>
    <sheetView showGridLines="0" showRowColHeaders="0" tabSelected="1" workbookViewId="0">
      <selection activeCell="C3" sqref="C3"/>
    </sheetView>
  </sheetViews>
  <sheetFormatPr defaultColWidth="9.140625" defaultRowHeight="15" x14ac:dyDescent="0.25"/>
  <cols>
    <col min="1" max="16384" width="9.140625" style="18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tStarted">
          <controlPr defaultSize="0" autoLine="0" r:id="rId4">
            <anchor moveWithCells="1">
              <from>
                <xdr:col>5</xdr:col>
                <xdr:colOff>552450</xdr:colOff>
                <xdr:row>23</xdr:row>
                <xdr:rowOff>85725</xdr:rowOff>
              </from>
              <to>
                <xdr:col>8</xdr:col>
                <xdr:colOff>381000</xdr:colOff>
                <xdr:row>25</xdr:row>
                <xdr:rowOff>133350</xdr:rowOff>
              </to>
            </anchor>
          </controlPr>
        </control>
      </mc:Choice>
      <mc:Fallback>
        <control shapeId="1025" r:id="rId3" name="btnGetStart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B2:H205"/>
  <sheetViews>
    <sheetView showGridLines="0" showRowColHeaders="0" workbookViewId="0"/>
  </sheetViews>
  <sheetFormatPr defaultRowHeight="15" x14ac:dyDescent="0.25"/>
  <cols>
    <col min="1" max="1" width="4.140625" customWidth="1"/>
    <col min="2" max="2" width="14.42578125" customWidth="1"/>
    <col min="3" max="4" width="13.7109375" customWidth="1"/>
    <col min="5" max="5" width="5.42578125" customWidth="1"/>
    <col min="6" max="6" width="2.7109375" customWidth="1"/>
    <col min="7" max="8" width="14" customWidth="1"/>
    <col min="9" max="9" width="35.5703125" customWidth="1"/>
  </cols>
  <sheetData>
    <row r="2" spans="2:8" x14ac:dyDescent="0.25">
      <c r="B2" s="31" t="s">
        <v>22</v>
      </c>
      <c r="C2" s="31"/>
      <c r="D2" s="28"/>
      <c r="E2" s="28"/>
    </row>
    <row r="3" spans="2:8" ht="30" x14ac:dyDescent="0.25">
      <c r="B3" s="3" t="s">
        <v>20</v>
      </c>
      <c r="C3" s="27">
        <v>0.9</v>
      </c>
      <c r="D3" s="28"/>
      <c r="E3" s="28"/>
    </row>
    <row r="4" spans="2:8" ht="9" customHeight="1" x14ac:dyDescent="0.25">
      <c r="G4">
        <f>repNum/ROWS(SimulationResultsInventory)</f>
        <v>1</v>
      </c>
      <c r="H4" s="16"/>
    </row>
    <row r="5" spans="2:8" ht="45" x14ac:dyDescent="0.25">
      <c r="B5" s="29" t="s">
        <v>17</v>
      </c>
      <c r="C5" s="29" t="s">
        <v>25</v>
      </c>
      <c r="D5" s="29" t="s">
        <v>26</v>
      </c>
      <c r="H5" s="16"/>
    </row>
    <row r="6" spans="2:8" x14ac:dyDescent="0.25">
      <c r="B6" s="25">
        <v>80.873972602739727</v>
      </c>
      <c r="C6" s="25">
        <v>9.8630136986301367E-2</v>
      </c>
      <c r="D6" s="25">
        <v>0.99543923083244312</v>
      </c>
      <c r="H6" s="16"/>
    </row>
    <row r="7" spans="2:8" x14ac:dyDescent="0.25">
      <c r="B7" s="2">
        <v>78.063013698630144</v>
      </c>
      <c r="C7" s="2">
        <v>0.10410958904109589</v>
      </c>
      <c r="D7" s="2">
        <v>0.99472320440497719</v>
      </c>
      <c r="G7" s="15">
        <v>200</v>
      </c>
      <c r="H7" s="16"/>
    </row>
    <row r="8" spans="2:8" x14ac:dyDescent="0.25">
      <c r="B8" s="2">
        <v>81.117808219178087</v>
      </c>
      <c r="C8" s="2">
        <v>0.1095890410958904</v>
      </c>
      <c r="D8" s="2">
        <v>0.99513345305495771</v>
      </c>
      <c r="H8" s="16"/>
    </row>
    <row r="9" spans="2:8" x14ac:dyDescent="0.25">
      <c r="B9" s="2">
        <v>77.797260273972597</v>
      </c>
      <c r="C9" s="2">
        <v>9.8630136986301367E-2</v>
      </c>
      <c r="D9" s="2">
        <v>0.99509222306115841</v>
      </c>
      <c r="H9" s="16"/>
    </row>
    <row r="10" spans="2:8" x14ac:dyDescent="0.25">
      <c r="B10" s="2">
        <v>83.350684931506848</v>
      </c>
      <c r="C10" s="2">
        <v>0.10410958904109589</v>
      </c>
      <c r="D10" s="2">
        <v>0.99477506444549157</v>
      </c>
      <c r="H10" s="16"/>
    </row>
    <row r="11" spans="2:8" x14ac:dyDescent="0.25">
      <c r="B11" s="2">
        <v>81.712328767123282</v>
      </c>
      <c r="C11" s="2">
        <v>9.8630136986301367E-2</v>
      </c>
      <c r="D11" s="2">
        <v>0.99562543848788743</v>
      </c>
      <c r="H11" s="16"/>
    </row>
    <row r="12" spans="2:8" x14ac:dyDescent="0.25">
      <c r="B12" s="2">
        <v>75.589041095890408</v>
      </c>
      <c r="C12" s="2">
        <v>0.10136986301369863</v>
      </c>
      <c r="D12" s="2">
        <v>0.99521135402633087</v>
      </c>
      <c r="H12" s="16"/>
    </row>
    <row r="13" spans="2:8" x14ac:dyDescent="0.25">
      <c r="B13" s="2">
        <v>80.495890410958907</v>
      </c>
      <c r="C13" s="2">
        <v>0.1095890410958904</v>
      </c>
      <c r="D13" s="2">
        <v>0.99502616727928617</v>
      </c>
      <c r="H13" s="16"/>
    </row>
    <row r="14" spans="2:8" x14ac:dyDescent="0.25">
      <c r="B14" s="2">
        <v>76.887671232876713</v>
      </c>
      <c r="C14" s="2">
        <v>0.14520547945205478</v>
      </c>
      <c r="D14" s="2">
        <v>0.99178595317725748</v>
      </c>
    </row>
    <row r="15" spans="2:8" x14ac:dyDescent="0.25">
      <c r="B15" s="2">
        <v>80.745205479452054</v>
      </c>
      <c r="C15" s="2">
        <v>0.12054794520547946</v>
      </c>
      <c r="D15" s="2">
        <v>0.99390493891272857</v>
      </c>
    </row>
    <row r="16" spans="2:8" x14ac:dyDescent="0.25">
      <c r="B16" s="2">
        <v>82.093150684931501</v>
      </c>
      <c r="C16" s="2">
        <v>0.11232876712328767</v>
      </c>
      <c r="D16" s="2">
        <v>0.99368594813948685</v>
      </c>
    </row>
    <row r="17" spans="2:4" x14ac:dyDescent="0.25">
      <c r="B17" s="2">
        <v>83.983561643835614</v>
      </c>
      <c r="C17" s="2">
        <v>0.10684931506849316</v>
      </c>
      <c r="D17" s="2">
        <v>0.99398435654843775</v>
      </c>
    </row>
    <row r="18" spans="2:4" x14ac:dyDescent="0.25">
      <c r="B18" s="2">
        <v>82.813698630136983</v>
      </c>
      <c r="C18" s="2">
        <v>8.7671232876712329E-2</v>
      </c>
      <c r="D18" s="2">
        <v>0.99616608996539791</v>
      </c>
    </row>
    <row r="19" spans="2:4" x14ac:dyDescent="0.25">
      <c r="B19" s="2">
        <v>76.123287671232873</v>
      </c>
      <c r="C19" s="2">
        <v>0.13150684931506848</v>
      </c>
      <c r="D19" s="2">
        <v>0.99325947677522686</v>
      </c>
    </row>
    <row r="20" spans="2:4" x14ac:dyDescent="0.25">
      <c r="B20" s="2">
        <v>83.235616438356161</v>
      </c>
      <c r="C20" s="2">
        <v>8.4931506849315067E-2</v>
      </c>
      <c r="D20" s="2">
        <v>0.99528818304023059</v>
      </c>
    </row>
    <row r="21" spans="2:4" x14ac:dyDescent="0.25">
      <c r="B21" s="2">
        <v>83.473972602739721</v>
      </c>
      <c r="C21" s="2">
        <v>9.3150684931506855E-2</v>
      </c>
      <c r="D21" s="2">
        <v>0.99475800859797536</v>
      </c>
    </row>
    <row r="22" spans="2:4" x14ac:dyDescent="0.25">
      <c r="B22" s="2">
        <v>78.509589041095893</v>
      </c>
      <c r="C22" s="2">
        <v>0.11780821917808219</v>
      </c>
      <c r="D22" s="2">
        <v>0.99375726292462774</v>
      </c>
    </row>
    <row r="23" spans="2:4" x14ac:dyDescent="0.25">
      <c r="B23" s="2">
        <v>82.547945205479451</v>
      </c>
      <c r="C23" s="2">
        <v>7.6712328767123292E-2</v>
      </c>
      <c r="D23" s="2">
        <v>0.99663960836917287</v>
      </c>
    </row>
    <row r="24" spans="2:4" x14ac:dyDescent="0.25">
      <c r="B24" s="2">
        <v>84.717808219178082</v>
      </c>
      <c r="C24" s="2">
        <v>7.9452054794520555E-2</v>
      </c>
      <c r="D24" s="2">
        <v>0.99576703315125525</v>
      </c>
    </row>
    <row r="25" spans="2:4" x14ac:dyDescent="0.25">
      <c r="B25" s="2">
        <v>81.756164383561639</v>
      </c>
      <c r="C25" s="2">
        <v>9.8630136986301367E-2</v>
      </c>
      <c r="D25" s="2">
        <v>0.9954053347640075</v>
      </c>
    </row>
    <row r="26" spans="2:4" x14ac:dyDescent="0.25">
      <c r="B26" s="2">
        <v>81.649315068493152</v>
      </c>
      <c r="C26" s="2">
        <v>9.5890410958904104E-2</v>
      </c>
      <c r="D26" s="2">
        <v>0.99512047613156851</v>
      </c>
    </row>
    <row r="27" spans="2:4" x14ac:dyDescent="0.25">
      <c r="B27" s="2">
        <v>81.654794520547952</v>
      </c>
      <c r="C27" s="2">
        <v>0.10410958904109589</v>
      </c>
      <c r="D27" s="2">
        <v>0.99455984174085066</v>
      </c>
    </row>
    <row r="28" spans="2:4" x14ac:dyDescent="0.25">
      <c r="B28" s="2">
        <v>81.084931506849315</v>
      </c>
      <c r="C28" s="2">
        <v>0.11232876712328767</v>
      </c>
      <c r="D28" s="2">
        <v>0.99364975091695407</v>
      </c>
    </row>
    <row r="29" spans="2:4" x14ac:dyDescent="0.25">
      <c r="B29" s="2">
        <v>85.136986301369859</v>
      </c>
      <c r="C29" s="2">
        <v>8.2191780821917804E-2</v>
      </c>
      <c r="D29" s="2">
        <v>0.99504749646749391</v>
      </c>
    </row>
    <row r="30" spans="2:4" x14ac:dyDescent="0.25">
      <c r="B30" s="2">
        <v>82.597260273972609</v>
      </c>
      <c r="C30" s="2">
        <v>8.4931506849315067E-2</v>
      </c>
      <c r="D30" s="2">
        <v>0.99553713298791024</v>
      </c>
    </row>
    <row r="31" spans="2:4" x14ac:dyDescent="0.25">
      <c r="B31" s="2">
        <v>81.37808219178082</v>
      </c>
      <c r="C31" s="2">
        <v>9.8630136986301367E-2</v>
      </c>
      <c r="D31" s="2">
        <v>0.99458102398068371</v>
      </c>
    </row>
    <row r="32" spans="2:4" x14ac:dyDescent="0.25">
      <c r="B32" s="2">
        <v>84.608219178082194</v>
      </c>
      <c r="C32" s="2">
        <v>9.0410958904109592E-2</v>
      </c>
      <c r="D32" s="2">
        <v>0.99506083268221901</v>
      </c>
    </row>
    <row r="33" spans="2:4" x14ac:dyDescent="0.25">
      <c r="B33" s="2">
        <v>81.520547945205479</v>
      </c>
      <c r="C33" s="2">
        <v>0.10136986301369863</v>
      </c>
      <c r="D33" s="2">
        <v>0.99371767965652991</v>
      </c>
    </row>
    <row r="34" spans="2:4" x14ac:dyDescent="0.25">
      <c r="B34" s="2">
        <v>80.682191780821924</v>
      </c>
      <c r="C34" s="2">
        <v>0.10136986301369863</v>
      </c>
      <c r="D34" s="2">
        <v>0.99451826334208226</v>
      </c>
    </row>
    <row r="35" spans="2:4" x14ac:dyDescent="0.25">
      <c r="B35" s="2">
        <v>79.887671232876713</v>
      </c>
      <c r="C35" s="2">
        <v>0.12602739726027398</v>
      </c>
      <c r="D35" s="2">
        <v>0.99378214373180218</v>
      </c>
    </row>
    <row r="36" spans="2:4" x14ac:dyDescent="0.25">
      <c r="B36" s="2">
        <v>81.742465753424653</v>
      </c>
      <c r="C36" s="2">
        <v>7.9452054794520555E-2</v>
      </c>
      <c r="D36" s="2">
        <v>0.99563847497970581</v>
      </c>
    </row>
    <row r="37" spans="2:4" x14ac:dyDescent="0.25">
      <c r="B37" s="2">
        <v>78.591780821917808</v>
      </c>
      <c r="C37" s="2">
        <v>9.8630136986301367E-2</v>
      </c>
      <c r="D37" s="2">
        <v>0.99437305559312861</v>
      </c>
    </row>
    <row r="38" spans="2:4" x14ac:dyDescent="0.25">
      <c r="B38" s="2">
        <v>79.413698630136992</v>
      </c>
      <c r="C38" s="2">
        <v>9.3150684931506855E-2</v>
      </c>
      <c r="D38" s="2">
        <v>0.99449870278053221</v>
      </c>
    </row>
    <row r="39" spans="2:4" x14ac:dyDescent="0.25">
      <c r="B39" s="2">
        <v>83.164383561643831</v>
      </c>
      <c r="C39" s="2">
        <v>9.0410958904109592E-2</v>
      </c>
      <c r="D39" s="2">
        <v>0.99538640583003135</v>
      </c>
    </row>
    <row r="40" spans="2:4" x14ac:dyDescent="0.25">
      <c r="B40" s="2">
        <v>84.827397260273969</v>
      </c>
      <c r="C40" s="2">
        <v>8.4931506849315067E-2</v>
      </c>
      <c r="D40" s="2">
        <v>0.9957089943392271</v>
      </c>
    </row>
    <row r="41" spans="2:4" x14ac:dyDescent="0.25">
      <c r="B41" s="2">
        <v>85.980821917808214</v>
      </c>
      <c r="C41" s="2">
        <v>8.4931506849315067E-2</v>
      </c>
      <c r="D41" s="2">
        <v>0.99543167186753256</v>
      </c>
    </row>
    <row r="42" spans="2:4" x14ac:dyDescent="0.25">
      <c r="B42" s="2">
        <v>82.531506849315065</v>
      </c>
      <c r="C42" s="2">
        <v>9.0410958904109592E-2</v>
      </c>
      <c r="D42" s="2">
        <v>0.99496141687718276</v>
      </c>
    </row>
    <row r="43" spans="2:4" x14ac:dyDescent="0.25">
      <c r="B43" s="2">
        <v>78.652054794520552</v>
      </c>
      <c r="C43" s="2">
        <v>7.6712328767123292E-2</v>
      </c>
      <c r="D43" s="2">
        <v>0.99667738041959941</v>
      </c>
    </row>
    <row r="44" spans="2:4" x14ac:dyDescent="0.25">
      <c r="B44" s="2">
        <v>80.69315068493151</v>
      </c>
      <c r="C44" s="2">
        <v>9.3150684931506855E-2</v>
      </c>
      <c r="D44" s="2">
        <v>0.9948171648934715</v>
      </c>
    </row>
    <row r="45" spans="2:4" x14ac:dyDescent="0.25">
      <c r="B45" s="2">
        <v>83.545205479452051</v>
      </c>
      <c r="C45" s="2">
        <v>0.10684931506849316</v>
      </c>
      <c r="D45" s="2">
        <v>0.99467332501040362</v>
      </c>
    </row>
    <row r="46" spans="2:4" x14ac:dyDescent="0.25">
      <c r="B46" s="2">
        <v>78.202739726027403</v>
      </c>
      <c r="C46" s="2">
        <v>0.10136986301369863</v>
      </c>
      <c r="D46" s="2">
        <v>0.99435699435699432</v>
      </c>
    </row>
    <row r="47" spans="2:4" x14ac:dyDescent="0.25">
      <c r="B47" s="2">
        <v>81.873972602739727</v>
      </c>
      <c r="C47" s="2">
        <v>0.10410958904109589</v>
      </c>
      <c r="D47" s="2">
        <v>0.99429404243032549</v>
      </c>
    </row>
    <row r="48" spans="2:4" x14ac:dyDescent="0.25">
      <c r="B48" s="2">
        <v>80.726027397260268</v>
      </c>
      <c r="C48" s="2">
        <v>9.8630136986301367E-2</v>
      </c>
      <c r="D48" s="2">
        <v>0.99413646055437099</v>
      </c>
    </row>
    <row r="49" spans="2:4" x14ac:dyDescent="0.25">
      <c r="B49" s="2">
        <v>85.701369863013696</v>
      </c>
      <c r="C49" s="2">
        <v>7.3972602739726029E-2</v>
      </c>
      <c r="D49" s="2">
        <v>0.99637523357264279</v>
      </c>
    </row>
    <row r="50" spans="2:4" x14ac:dyDescent="0.25">
      <c r="B50" s="2">
        <v>87.120547945205473</v>
      </c>
      <c r="C50" s="2">
        <v>7.6712328767123292E-2</v>
      </c>
      <c r="D50" s="2">
        <v>0.99575677854627231</v>
      </c>
    </row>
    <row r="51" spans="2:4" x14ac:dyDescent="0.25">
      <c r="B51" s="2">
        <v>83.772602739726025</v>
      </c>
      <c r="C51" s="2">
        <v>9.3150684931506855E-2</v>
      </c>
      <c r="D51" s="2">
        <v>0.99573196162936184</v>
      </c>
    </row>
    <row r="52" spans="2:4" x14ac:dyDescent="0.25">
      <c r="B52" s="2">
        <v>84.441095890410963</v>
      </c>
      <c r="C52" s="2">
        <v>7.6712328767123292E-2</v>
      </c>
      <c r="D52" s="2">
        <v>0.99635678391959803</v>
      </c>
    </row>
    <row r="53" spans="2:4" x14ac:dyDescent="0.25">
      <c r="B53" s="2">
        <v>80.101369863013701</v>
      </c>
      <c r="C53" s="2">
        <v>8.7671232876712329E-2</v>
      </c>
      <c r="D53" s="2">
        <v>0.99496809032891509</v>
      </c>
    </row>
    <row r="54" spans="2:4" x14ac:dyDescent="0.25">
      <c r="B54" s="2">
        <v>80.630136986301366</v>
      </c>
      <c r="C54" s="2">
        <v>0.10684931506849316</v>
      </c>
      <c r="D54" s="2">
        <v>0.99371842141198963</v>
      </c>
    </row>
    <row r="55" spans="2:4" x14ac:dyDescent="0.25">
      <c r="B55" s="2">
        <v>82.668493150684938</v>
      </c>
      <c r="C55" s="2">
        <v>8.7671232876712329E-2</v>
      </c>
      <c r="D55" s="2">
        <v>0.99570067876743573</v>
      </c>
    </row>
    <row r="56" spans="2:4" x14ac:dyDescent="0.25">
      <c r="B56" s="2">
        <v>81.479452054794521</v>
      </c>
      <c r="C56" s="2">
        <v>0.10684931506849316</v>
      </c>
      <c r="D56" s="2">
        <v>0.99442812834518157</v>
      </c>
    </row>
    <row r="57" spans="2:4" x14ac:dyDescent="0.25">
      <c r="B57" s="2">
        <v>81.408219178082192</v>
      </c>
      <c r="C57" s="2">
        <v>0.12602739726027398</v>
      </c>
      <c r="D57" s="2">
        <v>0.9937348340485036</v>
      </c>
    </row>
    <row r="58" spans="2:4" x14ac:dyDescent="0.25">
      <c r="B58" s="2">
        <v>81.013698630136986</v>
      </c>
      <c r="C58" s="2">
        <v>0.10136986301369863</v>
      </c>
      <c r="D58" s="2">
        <v>0.99514962183492273</v>
      </c>
    </row>
    <row r="59" spans="2:4" x14ac:dyDescent="0.25">
      <c r="B59" s="2">
        <v>79.038356164383558</v>
      </c>
      <c r="C59" s="2">
        <v>0.12328767123287671</v>
      </c>
      <c r="D59" s="2">
        <v>0.99438758218667389</v>
      </c>
    </row>
    <row r="60" spans="2:4" x14ac:dyDescent="0.25">
      <c r="B60" s="2">
        <v>76.021917808219172</v>
      </c>
      <c r="C60" s="2">
        <v>0.11232876712328767</v>
      </c>
      <c r="D60" s="2">
        <v>0.9943771452993736</v>
      </c>
    </row>
    <row r="61" spans="2:4" x14ac:dyDescent="0.25">
      <c r="B61" s="2">
        <v>79.104109589041101</v>
      </c>
      <c r="C61" s="2">
        <v>9.8630136986301367E-2</v>
      </c>
      <c r="D61" s="2">
        <v>0.99477696982852182</v>
      </c>
    </row>
    <row r="62" spans="2:4" x14ac:dyDescent="0.25">
      <c r="B62" s="2">
        <v>85.06575342465753</v>
      </c>
      <c r="C62" s="2">
        <v>0.11232876712328767</v>
      </c>
      <c r="D62" s="2">
        <v>0.99409003269343621</v>
      </c>
    </row>
    <row r="63" spans="2:4" x14ac:dyDescent="0.25">
      <c r="B63" s="2">
        <v>80.750684931506854</v>
      </c>
      <c r="C63" s="2">
        <v>0.11506849315068493</v>
      </c>
      <c r="D63" s="2">
        <v>0.99342959006652365</v>
      </c>
    </row>
    <row r="64" spans="2:4" x14ac:dyDescent="0.25">
      <c r="B64" s="2">
        <v>76.079452054794515</v>
      </c>
      <c r="C64" s="2">
        <v>0.12876712328767123</v>
      </c>
      <c r="D64" s="2">
        <v>0.9930886336041842</v>
      </c>
    </row>
    <row r="65" spans="2:4" x14ac:dyDescent="0.25">
      <c r="B65" s="2">
        <v>80.194520547945203</v>
      </c>
      <c r="C65" s="2">
        <v>0.11232876712328767</v>
      </c>
      <c r="D65" s="2">
        <v>0.99393518139940573</v>
      </c>
    </row>
    <row r="66" spans="2:4" x14ac:dyDescent="0.25">
      <c r="B66" s="2">
        <v>78.68767123287671</v>
      </c>
      <c r="C66" s="2">
        <v>9.8630136986301367E-2</v>
      </c>
      <c r="D66" s="2">
        <v>0.99512452768861981</v>
      </c>
    </row>
    <row r="67" spans="2:4" x14ac:dyDescent="0.25">
      <c r="B67" s="2">
        <v>84.649315068493152</v>
      </c>
      <c r="C67" s="2">
        <v>9.3150684931506855E-2</v>
      </c>
      <c r="D67" s="2">
        <v>0.99454626607526431</v>
      </c>
    </row>
    <row r="68" spans="2:4" x14ac:dyDescent="0.25">
      <c r="B68" s="2">
        <v>78.841095890410955</v>
      </c>
      <c r="C68" s="2">
        <v>0.10684931506849316</v>
      </c>
      <c r="D68" s="2">
        <v>0.9938546502971155</v>
      </c>
    </row>
    <row r="69" spans="2:4" x14ac:dyDescent="0.25">
      <c r="B69" s="2">
        <v>77.224657534246575</v>
      </c>
      <c r="C69" s="2">
        <v>0.12602739726027398</v>
      </c>
      <c r="D69" s="2">
        <v>0.99364981338775071</v>
      </c>
    </row>
    <row r="70" spans="2:4" x14ac:dyDescent="0.25">
      <c r="B70" s="2">
        <v>81.701369863013696</v>
      </c>
      <c r="C70" s="2">
        <v>0.10136986301369863</v>
      </c>
      <c r="D70" s="2">
        <v>0.99423068998200526</v>
      </c>
    </row>
    <row r="71" spans="2:4" x14ac:dyDescent="0.25">
      <c r="B71" s="2">
        <v>77.252054794520546</v>
      </c>
      <c r="C71" s="2">
        <v>0.12876712328767123</v>
      </c>
      <c r="D71" s="2">
        <v>0.99388917241935049</v>
      </c>
    </row>
    <row r="72" spans="2:4" x14ac:dyDescent="0.25">
      <c r="B72" s="2">
        <v>84.389041095890406</v>
      </c>
      <c r="C72" s="2">
        <v>0.10684931506849316</v>
      </c>
      <c r="D72" s="2">
        <v>0.99426263751566635</v>
      </c>
    </row>
    <row r="73" spans="2:4" x14ac:dyDescent="0.25">
      <c r="B73" s="2">
        <v>78.139726027397259</v>
      </c>
      <c r="C73" s="2">
        <v>9.8630136986301367E-2</v>
      </c>
      <c r="D73" s="2">
        <v>0.99525867891395381</v>
      </c>
    </row>
    <row r="74" spans="2:4" x14ac:dyDescent="0.25">
      <c r="B74" s="2">
        <v>83.778082191780825</v>
      </c>
      <c r="C74" s="2">
        <v>8.4931506849315067E-2</v>
      </c>
      <c r="D74" s="2">
        <v>0.99483283096967756</v>
      </c>
    </row>
    <row r="75" spans="2:4" x14ac:dyDescent="0.25">
      <c r="B75" s="2">
        <v>82.290410958904104</v>
      </c>
      <c r="C75" s="2">
        <v>9.0410958904109592E-2</v>
      </c>
      <c r="D75" s="2">
        <v>0.99539297635796853</v>
      </c>
    </row>
    <row r="76" spans="2:4" x14ac:dyDescent="0.25">
      <c r="B76" s="2">
        <v>81.046575342465758</v>
      </c>
      <c r="C76" s="2">
        <v>8.2191780821917804E-2</v>
      </c>
      <c r="D76" s="2">
        <v>0.99579019540623925</v>
      </c>
    </row>
    <row r="77" spans="2:4" x14ac:dyDescent="0.25">
      <c r="B77" s="2">
        <v>75.93150684931507</v>
      </c>
      <c r="C77" s="2">
        <v>0.12876712328767123</v>
      </c>
      <c r="D77" s="2">
        <v>0.9943265251635296</v>
      </c>
    </row>
    <row r="78" spans="2:4" x14ac:dyDescent="0.25">
      <c r="B78" s="2">
        <v>78.405479452054792</v>
      </c>
      <c r="C78" s="2">
        <v>0.10684931506849316</v>
      </c>
      <c r="D78" s="2">
        <v>0.99448574131639411</v>
      </c>
    </row>
    <row r="79" spans="2:4" x14ac:dyDescent="0.25">
      <c r="B79" s="2">
        <v>84.912328767123284</v>
      </c>
      <c r="C79" s="2">
        <v>9.5890410958904104E-2</v>
      </c>
      <c r="D79" s="2">
        <v>0.99555400209716882</v>
      </c>
    </row>
    <row r="80" spans="2:4" x14ac:dyDescent="0.25">
      <c r="B80" s="2">
        <v>74.958904109589042</v>
      </c>
      <c r="C80" s="2">
        <v>0.12328767123287671</v>
      </c>
      <c r="D80" s="2">
        <v>0.99382511121439476</v>
      </c>
    </row>
    <row r="81" spans="2:4" x14ac:dyDescent="0.25">
      <c r="B81" s="2">
        <v>80.980821917808214</v>
      </c>
      <c r="C81" s="2">
        <v>0.10684931506849316</v>
      </c>
      <c r="D81" s="2">
        <v>0.9955322881263019</v>
      </c>
    </row>
    <row r="82" spans="2:4" x14ac:dyDescent="0.25">
      <c r="B82" s="2">
        <v>78.334246575342462</v>
      </c>
      <c r="C82" s="2">
        <v>9.3150684931506855E-2</v>
      </c>
      <c r="D82" s="2">
        <v>0.99548294609288357</v>
      </c>
    </row>
    <row r="83" spans="2:4" x14ac:dyDescent="0.25">
      <c r="B83" s="2">
        <v>78.827397260273969</v>
      </c>
      <c r="C83" s="2">
        <v>0.10410958904109589</v>
      </c>
      <c r="D83" s="2">
        <v>0.993371032766038</v>
      </c>
    </row>
    <row r="84" spans="2:4" x14ac:dyDescent="0.25">
      <c r="B84" s="2">
        <v>82.476712328767121</v>
      </c>
      <c r="C84" s="2">
        <v>0.10136986301369863</v>
      </c>
      <c r="D84" s="2">
        <v>0.99503146737330239</v>
      </c>
    </row>
    <row r="85" spans="2:4" x14ac:dyDescent="0.25">
      <c r="B85" s="2">
        <v>76.558904109589037</v>
      </c>
      <c r="C85" s="2">
        <v>0.11780821917808219</v>
      </c>
      <c r="D85" s="2">
        <v>0.99400299850074958</v>
      </c>
    </row>
    <row r="86" spans="2:4" x14ac:dyDescent="0.25">
      <c r="B86" s="2">
        <v>78.789041095890411</v>
      </c>
      <c r="C86" s="2">
        <v>0.11780821917808219</v>
      </c>
      <c r="D86" s="2">
        <v>0.99401764928807324</v>
      </c>
    </row>
    <row r="87" spans="2:4" x14ac:dyDescent="0.25">
      <c r="B87" s="2">
        <v>87.665753424657538</v>
      </c>
      <c r="C87" s="2">
        <v>7.9452054794520555E-2</v>
      </c>
      <c r="D87" s="2">
        <v>0.99522250102780019</v>
      </c>
    </row>
    <row r="88" spans="2:4" x14ac:dyDescent="0.25">
      <c r="B88" s="2">
        <v>78.424657534246577</v>
      </c>
      <c r="C88" s="2">
        <v>9.3150684931506855E-2</v>
      </c>
      <c r="D88" s="2">
        <v>0.99604694924661896</v>
      </c>
    </row>
    <row r="89" spans="2:4" x14ac:dyDescent="0.25">
      <c r="B89" s="2">
        <v>74.794520547945211</v>
      </c>
      <c r="C89" s="2">
        <v>0.11780821917808219</v>
      </c>
      <c r="D89" s="2">
        <v>0.99468791500664011</v>
      </c>
    </row>
    <row r="90" spans="2:4" x14ac:dyDescent="0.25">
      <c r="B90" s="2">
        <v>83.161643835616445</v>
      </c>
      <c r="C90" s="2">
        <v>9.3150684931506855E-2</v>
      </c>
      <c r="D90" s="2">
        <v>0.99473873674300117</v>
      </c>
    </row>
    <row r="91" spans="2:4" x14ac:dyDescent="0.25">
      <c r="B91" s="2">
        <v>81.673972602739724</v>
      </c>
      <c r="C91" s="2">
        <v>9.0410958904109592E-2</v>
      </c>
      <c r="D91" s="2">
        <v>0.99483268054696627</v>
      </c>
    </row>
    <row r="92" spans="2:4" x14ac:dyDescent="0.25">
      <c r="B92" s="2">
        <v>80.07671232876713</v>
      </c>
      <c r="C92" s="2">
        <v>7.9452054794520555E-2</v>
      </c>
      <c r="D92" s="2">
        <v>0.99515867279446857</v>
      </c>
    </row>
    <row r="93" spans="2:4" x14ac:dyDescent="0.25">
      <c r="B93" s="2">
        <v>80.372602739726034</v>
      </c>
      <c r="C93" s="2">
        <v>0.10136986301369863</v>
      </c>
      <c r="D93" s="2">
        <v>0.99439099283520982</v>
      </c>
    </row>
    <row r="94" spans="2:4" x14ac:dyDescent="0.25">
      <c r="B94" s="2">
        <v>80.61917808219178</v>
      </c>
      <c r="C94" s="2">
        <v>9.0410958904109592E-2</v>
      </c>
      <c r="D94" s="2">
        <v>0.99559483419065342</v>
      </c>
    </row>
    <row r="95" spans="2:4" x14ac:dyDescent="0.25">
      <c r="B95" s="2">
        <v>79.652054794520552</v>
      </c>
      <c r="C95" s="2">
        <v>0.12602739726027398</v>
      </c>
      <c r="D95" s="2">
        <v>0.99358686938681229</v>
      </c>
    </row>
    <row r="96" spans="2:4" x14ac:dyDescent="0.25">
      <c r="B96" s="2">
        <v>78.780821917808225</v>
      </c>
      <c r="C96" s="2">
        <v>0.12602739726027398</v>
      </c>
      <c r="D96" s="2">
        <v>0.99303677663601952</v>
      </c>
    </row>
    <row r="97" spans="2:4" x14ac:dyDescent="0.25">
      <c r="B97" s="2">
        <v>84.775342465753425</v>
      </c>
      <c r="C97" s="2">
        <v>0.10136986301369863</v>
      </c>
      <c r="D97" s="2">
        <v>0.99419586176105368</v>
      </c>
    </row>
    <row r="98" spans="2:4" x14ac:dyDescent="0.25">
      <c r="B98" s="2">
        <v>84.805479452054797</v>
      </c>
      <c r="C98" s="2">
        <v>0.10136986301369863</v>
      </c>
      <c r="D98" s="2">
        <v>0.99493080478710771</v>
      </c>
    </row>
    <row r="99" spans="2:4" x14ac:dyDescent="0.25">
      <c r="B99" s="2">
        <v>75.673972602739724</v>
      </c>
      <c r="C99" s="2">
        <v>8.2191780821917804E-2</v>
      </c>
      <c r="D99" s="2">
        <v>0.99540861951603643</v>
      </c>
    </row>
    <row r="100" spans="2:4" x14ac:dyDescent="0.25">
      <c r="B100" s="2">
        <v>83.046575342465758</v>
      </c>
      <c r="C100" s="2">
        <v>9.8630136986301367E-2</v>
      </c>
      <c r="D100" s="2">
        <v>0.99562351116281644</v>
      </c>
    </row>
    <row r="101" spans="2:4" x14ac:dyDescent="0.25">
      <c r="B101" s="2">
        <v>82.452054794520549</v>
      </c>
      <c r="C101" s="2">
        <v>8.7671232876712329E-2</v>
      </c>
      <c r="D101" s="2">
        <v>0.99591165867874754</v>
      </c>
    </row>
    <row r="102" spans="2:4" x14ac:dyDescent="0.25">
      <c r="B102" s="2">
        <v>77.263013698630132</v>
      </c>
      <c r="C102" s="2">
        <v>9.5890410958904104E-2</v>
      </c>
      <c r="D102" s="2">
        <v>0.99531924623723889</v>
      </c>
    </row>
    <row r="103" spans="2:4" x14ac:dyDescent="0.25">
      <c r="B103" s="2">
        <v>84.93150684931507</v>
      </c>
      <c r="C103" s="2">
        <v>8.2191780821917804E-2</v>
      </c>
      <c r="D103" s="2">
        <v>0.99535872057261088</v>
      </c>
    </row>
    <row r="104" spans="2:4" x14ac:dyDescent="0.25">
      <c r="B104" s="2">
        <v>82.93424657534247</v>
      </c>
      <c r="C104" s="2">
        <v>7.6712328767123292E-2</v>
      </c>
      <c r="D104" s="2">
        <v>0.99642594927064432</v>
      </c>
    </row>
    <row r="105" spans="2:4" x14ac:dyDescent="0.25">
      <c r="B105" s="2">
        <v>74.31506849315069</v>
      </c>
      <c r="C105" s="2">
        <v>0.13698630136986301</v>
      </c>
      <c r="D105" s="2">
        <v>0.9922942715905787</v>
      </c>
    </row>
    <row r="106" spans="2:4" x14ac:dyDescent="0.25">
      <c r="B106" s="2">
        <v>83.745205479452054</v>
      </c>
      <c r="C106" s="2">
        <v>9.8630136986301367E-2</v>
      </c>
      <c r="D106" s="2">
        <v>0.9949027777777778</v>
      </c>
    </row>
    <row r="107" spans="2:4" x14ac:dyDescent="0.25">
      <c r="B107" s="2">
        <v>84.495890410958907</v>
      </c>
      <c r="C107" s="2">
        <v>7.1232876712328766E-2</v>
      </c>
      <c r="D107" s="2">
        <v>0.99653665144469117</v>
      </c>
    </row>
    <row r="108" spans="2:4" x14ac:dyDescent="0.25">
      <c r="B108" s="2">
        <v>79.391780821917806</v>
      </c>
      <c r="C108" s="2">
        <v>0.1095890410958904</v>
      </c>
      <c r="D108" s="2">
        <v>0.99524275539607454</v>
      </c>
    </row>
    <row r="109" spans="2:4" x14ac:dyDescent="0.25">
      <c r="B109" s="2">
        <v>82.761643835616439</v>
      </c>
      <c r="C109" s="2">
        <v>8.2191780821917804E-2</v>
      </c>
      <c r="D109" s="2">
        <v>0.99564357531082748</v>
      </c>
    </row>
    <row r="110" spans="2:4" x14ac:dyDescent="0.25">
      <c r="B110" s="2">
        <v>81.334246575342462</v>
      </c>
      <c r="C110" s="2">
        <v>0.13698630136986301</v>
      </c>
      <c r="D110" s="2">
        <v>0.99287993099010041</v>
      </c>
    </row>
    <row r="111" spans="2:4" x14ac:dyDescent="0.25">
      <c r="B111" s="2">
        <v>79.145205479452059</v>
      </c>
      <c r="C111" s="2">
        <v>0.12328767123287671</v>
      </c>
      <c r="D111" s="2">
        <v>0.9941418962898676</v>
      </c>
    </row>
    <row r="112" spans="2:4" x14ac:dyDescent="0.25">
      <c r="B112" s="2">
        <v>81.553424657534251</v>
      </c>
      <c r="C112" s="2">
        <v>0.11780821917808219</v>
      </c>
      <c r="D112" s="2">
        <v>0.99373027850185214</v>
      </c>
    </row>
    <row r="113" spans="2:4" x14ac:dyDescent="0.25">
      <c r="B113" s="2">
        <v>78.772602739726025</v>
      </c>
      <c r="C113" s="2">
        <v>0.10684931506849316</v>
      </c>
      <c r="D113" s="2">
        <v>0.99517641320253647</v>
      </c>
    </row>
    <row r="114" spans="2:4" x14ac:dyDescent="0.25">
      <c r="B114" s="2">
        <v>82.893150684931513</v>
      </c>
      <c r="C114" s="2">
        <v>7.3972602739726029E-2</v>
      </c>
      <c r="D114" s="2">
        <v>0.99650950191146326</v>
      </c>
    </row>
    <row r="115" spans="2:4" x14ac:dyDescent="0.25">
      <c r="B115" s="2">
        <v>75.235616438356161</v>
      </c>
      <c r="C115" s="2">
        <v>0.12602739726027398</v>
      </c>
      <c r="D115" s="2">
        <v>0.99418697456635097</v>
      </c>
    </row>
    <row r="116" spans="2:4" x14ac:dyDescent="0.25">
      <c r="B116" s="2">
        <v>82.397260273972606</v>
      </c>
      <c r="C116" s="2">
        <v>9.0410958904109592E-2</v>
      </c>
      <c r="D116" s="2">
        <v>0.99574779451355044</v>
      </c>
    </row>
    <row r="117" spans="2:4" x14ac:dyDescent="0.25">
      <c r="B117" s="2">
        <v>79.367123287671234</v>
      </c>
      <c r="C117" s="2">
        <v>0.10136986301369863</v>
      </c>
      <c r="D117" s="2">
        <v>0.99455399826162538</v>
      </c>
    </row>
    <row r="118" spans="2:4" x14ac:dyDescent="0.25">
      <c r="B118" s="2">
        <v>82.578082191780823</v>
      </c>
      <c r="C118" s="2">
        <v>7.6712328767123292E-2</v>
      </c>
      <c r="D118" s="2">
        <v>0.99585400572147209</v>
      </c>
    </row>
    <row r="119" spans="2:4" x14ac:dyDescent="0.25">
      <c r="B119" s="2">
        <v>76.430136986301363</v>
      </c>
      <c r="C119" s="2">
        <v>0.11506849315068493</v>
      </c>
      <c r="D119" s="2">
        <v>0.99545832105249055</v>
      </c>
    </row>
    <row r="120" spans="2:4" x14ac:dyDescent="0.25">
      <c r="B120" s="2">
        <v>78.235616438356161</v>
      </c>
      <c r="C120" s="2">
        <v>8.7671232876712329E-2</v>
      </c>
      <c r="D120" s="2">
        <v>0.99520263787348473</v>
      </c>
    </row>
    <row r="121" spans="2:4" x14ac:dyDescent="0.25">
      <c r="B121" s="2">
        <v>83.712328767123282</v>
      </c>
      <c r="C121" s="2">
        <v>0.13150684931506848</v>
      </c>
      <c r="D121" s="2">
        <v>0.99298693018807782</v>
      </c>
    </row>
    <row r="122" spans="2:4" x14ac:dyDescent="0.25">
      <c r="B122" s="2">
        <v>76.098630136986301</v>
      </c>
      <c r="C122" s="2">
        <v>0.12328767123287671</v>
      </c>
      <c r="D122" s="2">
        <v>0.99449462825378165</v>
      </c>
    </row>
    <row r="123" spans="2:4" x14ac:dyDescent="0.25">
      <c r="B123" s="2">
        <v>82.408219178082192</v>
      </c>
      <c r="C123" s="2">
        <v>6.8493150684931503E-2</v>
      </c>
      <c r="D123" s="2">
        <v>0.99662820424238241</v>
      </c>
    </row>
    <row r="124" spans="2:4" x14ac:dyDescent="0.25">
      <c r="B124" s="2">
        <v>82.953424657534242</v>
      </c>
      <c r="C124" s="2">
        <v>9.8630136986301367E-2</v>
      </c>
      <c r="D124" s="2">
        <v>0.9945104329429334</v>
      </c>
    </row>
    <row r="125" spans="2:4" x14ac:dyDescent="0.25">
      <c r="B125" s="2">
        <v>79.038356164383558</v>
      </c>
      <c r="C125" s="2">
        <v>9.3150684931506855E-2</v>
      </c>
      <c r="D125" s="2">
        <v>0.99561582104948831</v>
      </c>
    </row>
    <row r="126" spans="2:4" x14ac:dyDescent="0.25">
      <c r="B126" s="2">
        <v>80.219178082191775</v>
      </c>
      <c r="C126" s="2">
        <v>9.8630136986301367E-2</v>
      </c>
      <c r="D126" s="2">
        <v>0.99507375718126112</v>
      </c>
    </row>
    <row r="127" spans="2:4" x14ac:dyDescent="0.25">
      <c r="B127" s="2">
        <v>80.969863013698628</v>
      </c>
      <c r="C127" s="2">
        <v>0.10410958904109589</v>
      </c>
      <c r="D127" s="2">
        <v>0.99446954140999311</v>
      </c>
    </row>
    <row r="128" spans="2:4" x14ac:dyDescent="0.25">
      <c r="B128" s="2">
        <v>81.084931506849315</v>
      </c>
      <c r="C128" s="2">
        <v>0.12054794520547946</v>
      </c>
      <c r="D128" s="2">
        <v>0.99375855461264717</v>
      </c>
    </row>
    <row r="129" spans="2:4" x14ac:dyDescent="0.25">
      <c r="B129" s="2">
        <v>82.021917808219172</v>
      </c>
      <c r="C129" s="2">
        <v>8.2191780821917804E-2</v>
      </c>
      <c r="D129" s="2">
        <v>0.99657978209902087</v>
      </c>
    </row>
    <row r="130" spans="2:4" x14ac:dyDescent="0.25">
      <c r="B130" s="2">
        <v>79.797260273972597</v>
      </c>
      <c r="C130" s="2">
        <v>9.8630136986301367E-2</v>
      </c>
      <c r="D130" s="2">
        <v>0.99400122423995108</v>
      </c>
    </row>
    <row r="131" spans="2:4" x14ac:dyDescent="0.25">
      <c r="B131" s="2">
        <v>81.854794520547941</v>
      </c>
      <c r="C131" s="2">
        <v>7.6712328767123292E-2</v>
      </c>
      <c r="D131" s="2">
        <v>0.99601994160744778</v>
      </c>
    </row>
    <row r="132" spans="2:4" x14ac:dyDescent="0.25">
      <c r="B132" s="2">
        <v>81.909589041095884</v>
      </c>
      <c r="C132" s="2">
        <v>9.5890410958904104E-2</v>
      </c>
      <c r="D132" s="2">
        <v>0.99611489977268031</v>
      </c>
    </row>
    <row r="133" spans="2:4" x14ac:dyDescent="0.25">
      <c r="B133" s="2">
        <v>80.736986301369868</v>
      </c>
      <c r="C133" s="2">
        <v>8.2191780821917804E-2</v>
      </c>
      <c r="D133" s="2">
        <v>0.9952516489230685</v>
      </c>
    </row>
    <row r="134" spans="2:4" x14ac:dyDescent="0.25">
      <c r="B134" s="2">
        <v>79.663013698630138</v>
      </c>
      <c r="C134" s="2">
        <v>9.8630136986301367E-2</v>
      </c>
      <c r="D134" s="2">
        <v>0.99493843118579495</v>
      </c>
    </row>
    <row r="135" spans="2:4" x14ac:dyDescent="0.25">
      <c r="B135" s="2">
        <v>78.734246575342468</v>
      </c>
      <c r="C135" s="2">
        <v>0.11506849315068493</v>
      </c>
      <c r="D135" s="2">
        <v>0.9944902462467341</v>
      </c>
    </row>
    <row r="136" spans="2:4" x14ac:dyDescent="0.25">
      <c r="B136" s="2">
        <v>79.879452054794527</v>
      </c>
      <c r="C136" s="2">
        <v>7.9452054794520555E-2</v>
      </c>
      <c r="D136" s="2">
        <v>0.99581464465378799</v>
      </c>
    </row>
    <row r="137" spans="2:4" x14ac:dyDescent="0.25">
      <c r="B137" s="2">
        <v>80.117808219178087</v>
      </c>
      <c r="C137" s="2">
        <v>0.11780821917808219</v>
      </c>
      <c r="D137" s="2">
        <v>0.99380210319838713</v>
      </c>
    </row>
    <row r="138" spans="2:4" x14ac:dyDescent="0.25">
      <c r="B138" s="2">
        <v>80.202739726027403</v>
      </c>
      <c r="C138" s="2">
        <v>9.5890410958904104E-2</v>
      </c>
      <c r="D138" s="2">
        <v>0.99594389740928402</v>
      </c>
    </row>
    <row r="139" spans="2:4" x14ac:dyDescent="0.25">
      <c r="B139" s="2">
        <v>83.101369863013701</v>
      </c>
      <c r="C139" s="2">
        <v>8.4931506849315067E-2</v>
      </c>
      <c r="D139" s="2">
        <v>0.99592583354119901</v>
      </c>
    </row>
    <row r="140" spans="2:4" x14ac:dyDescent="0.25">
      <c r="B140" s="2">
        <v>77.471232876712335</v>
      </c>
      <c r="C140" s="2">
        <v>0.11780821917808219</v>
      </c>
      <c r="D140" s="2">
        <v>0.99481886203369763</v>
      </c>
    </row>
    <row r="141" spans="2:4" x14ac:dyDescent="0.25">
      <c r="B141" s="2">
        <v>81.139726027397259</v>
      </c>
      <c r="C141" s="2">
        <v>9.5890410958904104E-2</v>
      </c>
      <c r="D141" s="2">
        <v>0.9942196531791907</v>
      </c>
    </row>
    <row r="142" spans="2:4" x14ac:dyDescent="0.25">
      <c r="B142" s="2">
        <v>83.747945205479454</v>
      </c>
      <c r="C142" s="2">
        <v>8.4931506849315067E-2</v>
      </c>
      <c r="D142" s="2">
        <v>0.99642504416531041</v>
      </c>
    </row>
    <row r="143" spans="2:4" x14ac:dyDescent="0.25">
      <c r="B143" s="2">
        <v>87.630136986301366</v>
      </c>
      <c r="C143" s="2">
        <v>7.3972602739726029E-2</v>
      </c>
      <c r="D143" s="2">
        <v>0.99615526487529438</v>
      </c>
    </row>
    <row r="144" spans="2:4" x14ac:dyDescent="0.25">
      <c r="B144" s="2">
        <v>83.454794520547949</v>
      </c>
      <c r="C144" s="2">
        <v>0.10684931506849316</v>
      </c>
      <c r="D144" s="2">
        <v>0.99460681011535046</v>
      </c>
    </row>
    <row r="145" spans="2:4" x14ac:dyDescent="0.25">
      <c r="B145" s="2">
        <v>80.452054794520549</v>
      </c>
      <c r="C145" s="2">
        <v>8.4931506849315067E-2</v>
      </c>
      <c r="D145" s="2">
        <v>0.99489133849663292</v>
      </c>
    </row>
    <row r="146" spans="2:4" x14ac:dyDescent="0.25">
      <c r="B146" s="2">
        <v>79.797260273972597</v>
      </c>
      <c r="C146" s="2">
        <v>7.1232876712328766E-2</v>
      </c>
      <c r="D146" s="2">
        <v>0.99714804252009337</v>
      </c>
    </row>
    <row r="147" spans="2:4" x14ac:dyDescent="0.25">
      <c r="B147" s="2">
        <v>78.846575342465755</v>
      </c>
      <c r="C147" s="2">
        <v>0.11506849315068493</v>
      </c>
      <c r="D147" s="2">
        <v>0.99493190595568803</v>
      </c>
    </row>
    <row r="148" spans="2:4" x14ac:dyDescent="0.25">
      <c r="B148" s="2">
        <v>77.345205479452048</v>
      </c>
      <c r="C148" s="2">
        <v>0.1095890410958904</v>
      </c>
      <c r="D148" s="2">
        <v>0.99438073856991138</v>
      </c>
    </row>
    <row r="149" spans="2:4" x14ac:dyDescent="0.25">
      <c r="B149" s="2">
        <v>82.942465753424656</v>
      </c>
      <c r="C149" s="2">
        <v>9.8630136986301367E-2</v>
      </c>
      <c r="D149" s="2">
        <v>0.99408463941178093</v>
      </c>
    </row>
    <row r="150" spans="2:4" x14ac:dyDescent="0.25">
      <c r="B150" s="2">
        <v>79.443835616438349</v>
      </c>
      <c r="C150" s="2">
        <v>0.1095890410958904</v>
      </c>
      <c r="D150" s="2">
        <v>0.99428175594914703</v>
      </c>
    </row>
    <row r="151" spans="2:4" x14ac:dyDescent="0.25">
      <c r="B151" s="2">
        <v>80.052054794520544</v>
      </c>
      <c r="C151" s="2">
        <v>0.10684931506849316</v>
      </c>
      <c r="D151" s="2">
        <v>0.99437283701664991</v>
      </c>
    </row>
    <row r="152" spans="2:4" x14ac:dyDescent="0.25">
      <c r="B152" s="2">
        <v>82.824657534246569</v>
      </c>
      <c r="C152" s="2">
        <v>0.10410958904109589</v>
      </c>
      <c r="D152" s="2">
        <v>0.99440406775914003</v>
      </c>
    </row>
    <row r="153" spans="2:4" x14ac:dyDescent="0.25">
      <c r="B153" s="2">
        <v>76.827397260273969</v>
      </c>
      <c r="C153" s="2">
        <v>0.14246575342465753</v>
      </c>
      <c r="D153" s="2">
        <v>0.99367546563044351</v>
      </c>
    </row>
    <row r="154" spans="2:4" x14ac:dyDescent="0.25">
      <c r="B154" s="2">
        <v>81.287671232876718</v>
      </c>
      <c r="C154" s="2">
        <v>0.12054794520547946</v>
      </c>
      <c r="D154" s="2">
        <v>0.99316709800216352</v>
      </c>
    </row>
    <row r="155" spans="2:4" x14ac:dyDescent="0.25">
      <c r="B155" s="2">
        <v>79.400000000000006</v>
      </c>
      <c r="C155" s="2">
        <v>0.10684931506849316</v>
      </c>
      <c r="D155" s="2">
        <v>0.99491799491799493</v>
      </c>
    </row>
    <row r="156" spans="2:4" x14ac:dyDescent="0.25">
      <c r="B156" s="2">
        <v>85.37808219178082</v>
      </c>
      <c r="C156" s="2">
        <v>7.1232876712328766E-2</v>
      </c>
      <c r="D156" s="2">
        <v>0.9969545569371544</v>
      </c>
    </row>
    <row r="157" spans="2:4" x14ac:dyDescent="0.25">
      <c r="B157" s="2">
        <v>78.558904109589037</v>
      </c>
      <c r="C157" s="2">
        <v>0.12054794520547946</v>
      </c>
      <c r="D157" s="2">
        <v>0.99380947231833905</v>
      </c>
    </row>
    <row r="158" spans="2:4" x14ac:dyDescent="0.25">
      <c r="B158" s="2">
        <v>76.024657534246572</v>
      </c>
      <c r="C158" s="2">
        <v>0.12054794520547946</v>
      </c>
      <c r="D158" s="2">
        <v>0.99320971184631801</v>
      </c>
    </row>
    <row r="159" spans="2:4" x14ac:dyDescent="0.25">
      <c r="B159" s="2">
        <v>81.156164383561645</v>
      </c>
      <c r="C159" s="2">
        <v>7.6712328767123292E-2</v>
      </c>
      <c r="D159" s="2">
        <v>0.99634836088078638</v>
      </c>
    </row>
    <row r="160" spans="2:4" x14ac:dyDescent="0.25">
      <c r="B160" s="2">
        <v>80.572602739726022</v>
      </c>
      <c r="C160" s="2">
        <v>6.3013698630136991E-2</v>
      </c>
      <c r="D160" s="2">
        <v>0.99659090909090908</v>
      </c>
    </row>
    <row r="161" spans="2:4" x14ac:dyDescent="0.25">
      <c r="B161" s="2">
        <v>80.830136986301369</v>
      </c>
      <c r="C161" s="2">
        <v>8.4931506849315067E-2</v>
      </c>
      <c r="D161" s="2">
        <v>0.99582203227308841</v>
      </c>
    </row>
    <row r="162" spans="2:4" x14ac:dyDescent="0.25">
      <c r="B162" s="2">
        <v>78.980821917808214</v>
      </c>
      <c r="C162" s="2">
        <v>0.10136986301369863</v>
      </c>
      <c r="D162" s="2">
        <v>0.99463181867476413</v>
      </c>
    </row>
    <row r="163" spans="2:4" x14ac:dyDescent="0.25">
      <c r="B163" s="2">
        <v>77.843835616438355</v>
      </c>
      <c r="C163" s="2">
        <v>9.0410958904109592E-2</v>
      </c>
      <c r="D163" s="2">
        <v>0.99581629485674183</v>
      </c>
    </row>
    <row r="164" spans="2:4" x14ac:dyDescent="0.25">
      <c r="B164" s="2">
        <v>79.358904109589048</v>
      </c>
      <c r="C164" s="2">
        <v>9.3150684931506855E-2</v>
      </c>
      <c r="D164" s="2">
        <v>0.99509477546028946</v>
      </c>
    </row>
    <row r="165" spans="2:4" x14ac:dyDescent="0.25">
      <c r="B165" s="2">
        <v>81.698630136986296</v>
      </c>
      <c r="C165" s="2">
        <v>6.3013698630136991E-2</v>
      </c>
      <c r="D165" s="2">
        <v>0.99673630141702352</v>
      </c>
    </row>
    <row r="166" spans="2:4" x14ac:dyDescent="0.25">
      <c r="B166" s="2">
        <v>80.049315068493144</v>
      </c>
      <c r="C166" s="2">
        <v>0.11780821917808219</v>
      </c>
      <c r="D166" s="2">
        <v>0.9937771483816501</v>
      </c>
    </row>
    <row r="167" spans="2:4" x14ac:dyDescent="0.25">
      <c r="B167" s="2">
        <v>75.802739726027397</v>
      </c>
      <c r="C167" s="2">
        <v>0.11780821917808219</v>
      </c>
      <c r="D167" s="2">
        <v>0.99272756333413248</v>
      </c>
    </row>
    <row r="168" spans="2:4" x14ac:dyDescent="0.25">
      <c r="B168" s="2">
        <v>80.797260273972597</v>
      </c>
      <c r="C168" s="2">
        <v>9.3150684931506855E-2</v>
      </c>
      <c r="D168" s="2">
        <v>0.99507315003626706</v>
      </c>
    </row>
    <row r="169" spans="2:4" x14ac:dyDescent="0.25">
      <c r="B169" s="2">
        <v>83.471232876712335</v>
      </c>
      <c r="C169" s="2">
        <v>7.9452054794520555E-2</v>
      </c>
      <c r="D169" s="2">
        <v>0.99566937330834893</v>
      </c>
    </row>
    <row r="170" spans="2:4" x14ac:dyDescent="0.25">
      <c r="B170" s="2">
        <v>80.989041095890414</v>
      </c>
      <c r="C170" s="2">
        <v>0.11506849315068493</v>
      </c>
      <c r="D170" s="2">
        <v>0.99347612013786313</v>
      </c>
    </row>
    <row r="171" spans="2:4" x14ac:dyDescent="0.25">
      <c r="B171" s="2">
        <v>79.186301369863017</v>
      </c>
      <c r="C171" s="2">
        <v>0.10684931506849316</v>
      </c>
      <c r="D171" s="2">
        <v>0.99459936223624401</v>
      </c>
    </row>
    <row r="172" spans="2:4" x14ac:dyDescent="0.25">
      <c r="B172" s="2">
        <v>81.810958904109583</v>
      </c>
      <c r="C172" s="2">
        <v>8.7671232876712329E-2</v>
      </c>
      <c r="D172" s="2">
        <v>0.99506176235934962</v>
      </c>
    </row>
    <row r="173" spans="2:4" x14ac:dyDescent="0.25">
      <c r="B173" s="2">
        <v>79.194520547945203</v>
      </c>
      <c r="C173" s="2">
        <v>0.12328767123287671</v>
      </c>
      <c r="D173" s="2">
        <v>0.99350710964716094</v>
      </c>
    </row>
    <row r="174" spans="2:4" x14ac:dyDescent="0.25">
      <c r="B174" s="2">
        <v>74.556164383561651</v>
      </c>
      <c r="C174" s="2">
        <v>0.11232876712328767</v>
      </c>
      <c r="D174" s="2">
        <v>0.99433792134086507</v>
      </c>
    </row>
    <row r="175" spans="2:4" x14ac:dyDescent="0.25">
      <c r="B175" s="2">
        <v>80.898630136986299</v>
      </c>
      <c r="C175" s="2">
        <v>7.6712328767123292E-2</v>
      </c>
      <c r="D175" s="2">
        <v>0.99592977839904617</v>
      </c>
    </row>
    <row r="176" spans="2:4" x14ac:dyDescent="0.25">
      <c r="B176" s="2">
        <v>82.156164383561645</v>
      </c>
      <c r="C176" s="2">
        <v>0.12054794520547946</v>
      </c>
      <c r="D176" s="2">
        <v>0.9936155867743578</v>
      </c>
    </row>
    <row r="177" spans="2:4" x14ac:dyDescent="0.25">
      <c r="B177" s="2">
        <v>76.243835616438361</v>
      </c>
      <c r="C177" s="2">
        <v>0.10136986301369863</v>
      </c>
      <c r="D177" s="2">
        <v>0.99451732391917735</v>
      </c>
    </row>
    <row r="178" spans="2:4" x14ac:dyDescent="0.25">
      <c r="B178" s="2">
        <v>84.224657534246575</v>
      </c>
      <c r="C178" s="2">
        <v>9.0410958904109592E-2</v>
      </c>
      <c r="D178" s="2">
        <v>0.99498732908184573</v>
      </c>
    </row>
    <row r="179" spans="2:4" x14ac:dyDescent="0.25">
      <c r="B179" s="2">
        <v>83.115068493150687</v>
      </c>
      <c r="C179" s="2">
        <v>9.5890410958904104E-2</v>
      </c>
      <c r="D179" s="2">
        <v>0.99486391450009692</v>
      </c>
    </row>
    <row r="180" spans="2:4" x14ac:dyDescent="0.25">
      <c r="B180" s="2">
        <v>82.898630136986299</v>
      </c>
      <c r="C180" s="2">
        <v>8.7671232876712329E-2</v>
      </c>
      <c r="D180" s="2">
        <v>0.99533751158704464</v>
      </c>
    </row>
    <row r="181" spans="2:4" x14ac:dyDescent="0.25">
      <c r="B181" s="2">
        <v>82.232876712328761</v>
      </c>
      <c r="C181" s="2">
        <v>0.11232876712328767</v>
      </c>
      <c r="D181" s="2">
        <v>0.99425635657419908</v>
      </c>
    </row>
    <row r="182" spans="2:4" x14ac:dyDescent="0.25">
      <c r="B182" s="2">
        <v>76.663013698630138</v>
      </c>
      <c r="C182" s="2">
        <v>0.11232876712328767</v>
      </c>
      <c r="D182" s="2">
        <v>0.99490602965226949</v>
      </c>
    </row>
    <row r="183" spans="2:4" x14ac:dyDescent="0.25">
      <c r="B183" s="2">
        <v>76.490410958904107</v>
      </c>
      <c r="C183" s="2">
        <v>9.0410958904109592E-2</v>
      </c>
      <c r="D183" s="2">
        <v>0.99495030673203144</v>
      </c>
    </row>
    <row r="184" spans="2:4" x14ac:dyDescent="0.25">
      <c r="B184" s="2">
        <v>83.61643835616438</v>
      </c>
      <c r="C184" s="2">
        <v>7.6712328767123292E-2</v>
      </c>
      <c r="D184" s="2">
        <v>0.99603974154102692</v>
      </c>
    </row>
    <row r="185" spans="2:4" x14ac:dyDescent="0.25">
      <c r="B185" s="2">
        <v>81.37808219178082</v>
      </c>
      <c r="C185" s="2">
        <v>9.0410958904109592E-2</v>
      </c>
      <c r="D185" s="2">
        <v>0.99589263146326723</v>
      </c>
    </row>
    <row r="186" spans="2:4" x14ac:dyDescent="0.25">
      <c r="B186" s="2">
        <v>77.30410958904109</v>
      </c>
      <c r="C186" s="2">
        <v>0.11780821917808219</v>
      </c>
      <c r="D186" s="2">
        <v>0.99362065029076407</v>
      </c>
    </row>
    <row r="187" spans="2:4" x14ac:dyDescent="0.25">
      <c r="B187" s="2">
        <v>82.550684931506851</v>
      </c>
      <c r="C187" s="2">
        <v>0.10410958904109589</v>
      </c>
      <c r="D187" s="2">
        <v>0.99549692658332756</v>
      </c>
    </row>
    <row r="188" spans="2:4" x14ac:dyDescent="0.25">
      <c r="B188" s="2">
        <v>80.37534246575342</v>
      </c>
      <c r="C188" s="2">
        <v>9.0410958904109592E-2</v>
      </c>
      <c r="D188" s="2">
        <v>0.99580429137624704</v>
      </c>
    </row>
    <row r="189" spans="2:4" x14ac:dyDescent="0.25">
      <c r="B189" s="2">
        <v>81.747945205479454</v>
      </c>
      <c r="C189" s="2">
        <v>9.8630136986301367E-2</v>
      </c>
      <c r="D189" s="2">
        <v>0.99424300298154733</v>
      </c>
    </row>
    <row r="190" spans="2:4" x14ac:dyDescent="0.25">
      <c r="B190" s="2">
        <v>84.465753424657535</v>
      </c>
      <c r="C190" s="2">
        <v>8.2191780821917804E-2</v>
      </c>
      <c r="D190" s="2">
        <v>0.99552245051680133</v>
      </c>
    </row>
    <row r="191" spans="2:4" x14ac:dyDescent="0.25">
      <c r="B191" s="2">
        <v>81.610958904109594</v>
      </c>
      <c r="C191" s="2">
        <v>9.0410958904109592E-2</v>
      </c>
      <c r="D191" s="2">
        <v>0.99576457645764571</v>
      </c>
    </row>
    <row r="192" spans="2:4" x14ac:dyDescent="0.25">
      <c r="B192" s="2">
        <v>76.917808219178085</v>
      </c>
      <c r="C192" s="2">
        <v>9.3150684931506855E-2</v>
      </c>
      <c r="D192" s="2">
        <v>0.99554105053923736</v>
      </c>
    </row>
    <row r="193" spans="2:4" x14ac:dyDescent="0.25">
      <c r="B193" s="2">
        <v>80.109589041095887</v>
      </c>
      <c r="C193" s="2">
        <v>0.12602739726027398</v>
      </c>
      <c r="D193" s="2">
        <v>0.99332879509870664</v>
      </c>
    </row>
    <row r="194" spans="2:4" x14ac:dyDescent="0.25">
      <c r="B194" s="2">
        <v>80.515068493150679</v>
      </c>
      <c r="C194" s="2">
        <v>0.12328767123287671</v>
      </c>
      <c r="D194" s="2">
        <v>0.99248940201463953</v>
      </c>
    </row>
    <row r="195" spans="2:4" x14ac:dyDescent="0.25">
      <c r="B195" s="2">
        <v>80.586301369863008</v>
      </c>
      <c r="C195" s="2">
        <v>0.11232876712328767</v>
      </c>
      <c r="D195" s="2">
        <v>0.99415412352828691</v>
      </c>
    </row>
    <row r="196" spans="2:4" x14ac:dyDescent="0.25">
      <c r="B196" s="2">
        <v>84.912328767123284</v>
      </c>
      <c r="C196" s="2">
        <v>8.2191780821917804E-2</v>
      </c>
      <c r="D196" s="2">
        <v>0.99562360178970921</v>
      </c>
    </row>
    <row r="197" spans="2:4" x14ac:dyDescent="0.25">
      <c r="B197" s="2">
        <v>79.797260273972597</v>
      </c>
      <c r="C197" s="2">
        <v>0.10136986301369863</v>
      </c>
      <c r="D197" s="2">
        <v>0.99419055523054112</v>
      </c>
    </row>
    <row r="198" spans="2:4" x14ac:dyDescent="0.25">
      <c r="B198" s="2">
        <v>79.06849315068493</v>
      </c>
      <c r="C198" s="2">
        <v>0.12054794520547946</v>
      </c>
      <c r="D198" s="2">
        <v>0.99375347217517374</v>
      </c>
    </row>
    <row r="199" spans="2:4" x14ac:dyDescent="0.25">
      <c r="B199" s="2">
        <v>86.408219178082192</v>
      </c>
      <c r="C199" s="2">
        <v>9.3150684931506855E-2</v>
      </c>
      <c r="D199" s="2">
        <v>0.9951973183853976</v>
      </c>
    </row>
    <row r="200" spans="2:4" x14ac:dyDescent="0.25">
      <c r="B200" s="2">
        <v>79.772602739726025</v>
      </c>
      <c r="C200" s="2">
        <v>8.4931506849315067E-2</v>
      </c>
      <c r="D200" s="2">
        <v>0.99553200474043402</v>
      </c>
    </row>
    <row r="201" spans="2:4" x14ac:dyDescent="0.25">
      <c r="B201" s="2">
        <v>85.030136986301372</v>
      </c>
      <c r="C201" s="2">
        <v>7.3972602739726029E-2</v>
      </c>
      <c r="D201" s="2">
        <v>0.99576028096883873</v>
      </c>
    </row>
    <row r="202" spans="2:4" x14ac:dyDescent="0.25">
      <c r="B202" s="2">
        <v>84.446575342465749</v>
      </c>
      <c r="C202" s="2">
        <v>0.13150684931506848</v>
      </c>
      <c r="D202" s="2">
        <v>0.99283647693762866</v>
      </c>
    </row>
    <row r="203" spans="2:4" x14ac:dyDescent="0.25">
      <c r="B203" s="2">
        <v>77.876712328767127</v>
      </c>
      <c r="C203" s="2">
        <v>8.7671232876712329E-2</v>
      </c>
      <c r="D203" s="2">
        <v>0.99599038773085646</v>
      </c>
    </row>
    <row r="204" spans="2:4" x14ac:dyDescent="0.25">
      <c r="B204" s="2">
        <v>80.767123287671239</v>
      </c>
      <c r="C204" s="2">
        <v>9.3150684931506855E-2</v>
      </c>
      <c r="D204" s="2">
        <v>0.99525093407420584</v>
      </c>
    </row>
    <row r="205" spans="2:4" x14ac:dyDescent="0.25">
      <c r="B205" s="1">
        <v>77.197260273972603</v>
      </c>
      <c r="C205" s="1">
        <v>9.5890410958904104E-2</v>
      </c>
      <c r="D205" s="1">
        <v>0.9958027846909262</v>
      </c>
    </row>
  </sheetData>
  <mergeCells count="1">
    <mergeCell ref="B2:C2"/>
  </mergeCells>
  <conditionalFormatting sqref="G4">
    <cfRule type="dataBar" priority="1">
      <dataBar showValue="0"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{9FFFEEA5-F93E-4E30-AE71-40144AC74F15}</x14:id>
        </ext>
      </extLst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btnSimulate">
          <controlPr defaultSize="0" autoLine="0" autoPict="0" r:id="rId5">
            <anchor moveWithCells="1">
              <from>
                <xdr:col>5</xdr:col>
                <xdr:colOff>171450</xdr:colOff>
                <xdr:row>1</xdr:row>
                <xdr:rowOff>95250</xdr:rowOff>
              </from>
              <to>
                <xdr:col>7</xdr:col>
                <xdr:colOff>28575</xdr:colOff>
                <xdr:row>3</xdr:row>
                <xdr:rowOff>0</xdr:rowOff>
              </to>
            </anchor>
          </controlPr>
        </control>
      </mc:Choice>
      <mc:Fallback>
        <control shapeId="3073" r:id="rId4" name="btnSimulat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FFEEA5-F93E-4E30-AE71-40144AC74F15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G4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imulation"/>
  <dimension ref="B2:Q383"/>
  <sheetViews>
    <sheetView showGridLines="0" zoomScale="106" zoomScaleNormal="106" workbookViewId="0"/>
  </sheetViews>
  <sheetFormatPr defaultRowHeight="15" x14ac:dyDescent="0.25"/>
  <cols>
    <col min="1" max="1" width="4.5703125" customWidth="1"/>
    <col min="2" max="7" width="15" customWidth="1"/>
    <col min="8" max="13" width="12.7109375" customWidth="1"/>
    <col min="14" max="14" width="4" customWidth="1"/>
    <col min="15" max="17" width="19.140625" customWidth="1"/>
  </cols>
  <sheetData>
    <row r="2" spans="2:17" x14ac:dyDescent="0.25">
      <c r="B2" s="3" t="s">
        <v>1</v>
      </c>
      <c r="C2" s="21">
        <v>100</v>
      </c>
    </row>
    <row r="3" spans="2:17" x14ac:dyDescent="0.25">
      <c r="B3" s="3" t="s">
        <v>2</v>
      </c>
      <c r="C3" s="21">
        <v>300</v>
      </c>
    </row>
    <row r="4" spans="2:17" x14ac:dyDescent="0.25">
      <c r="B4" s="3" t="s">
        <v>13</v>
      </c>
      <c r="C4" s="21">
        <f>CEILING(NoStockoutProbability*(DemandMax-DemandMin+1)+DemandMin-1,1)</f>
        <v>280</v>
      </c>
    </row>
    <row r="6" spans="2:17" ht="45" x14ac:dyDescent="0.25">
      <c r="B6" s="3" t="s">
        <v>0</v>
      </c>
      <c r="C6" s="3" t="s">
        <v>4</v>
      </c>
      <c r="D6" s="3" t="s">
        <v>7</v>
      </c>
      <c r="E6" s="3" t="s">
        <v>8</v>
      </c>
      <c r="F6" s="3" t="s">
        <v>5</v>
      </c>
      <c r="G6" s="3" t="s">
        <v>6</v>
      </c>
      <c r="H6" s="3" t="s">
        <v>14</v>
      </c>
      <c r="I6" s="3" t="s">
        <v>15</v>
      </c>
      <c r="J6" s="3" t="s">
        <v>10</v>
      </c>
      <c r="K6" s="3" t="s">
        <v>11</v>
      </c>
      <c r="L6" s="3" t="s">
        <v>12</v>
      </c>
      <c r="M6" s="3" t="s">
        <v>9</v>
      </c>
      <c r="N6" s="4"/>
      <c r="O6" s="3" t="s">
        <v>17</v>
      </c>
      <c r="P6" s="3" t="s">
        <v>23</v>
      </c>
      <c r="Q6" s="3" t="s">
        <v>24</v>
      </c>
    </row>
    <row r="7" spans="2:17" x14ac:dyDescent="0.25">
      <c r="B7" s="14">
        <v>0</v>
      </c>
      <c r="C7" s="13"/>
      <c r="D7" s="13"/>
      <c r="E7" s="13"/>
      <c r="F7" s="13"/>
      <c r="G7" s="13"/>
      <c r="H7" s="13"/>
      <c r="I7" s="13"/>
      <c r="J7" s="13">
        <f>BaseStock-121</f>
        <v>159</v>
      </c>
      <c r="K7" s="13">
        <v>0</v>
      </c>
      <c r="L7" s="13">
        <f>BaseStock-J7</f>
        <v>121</v>
      </c>
      <c r="M7" s="10"/>
      <c r="O7" s="8">
        <f ca="1">AVERAGE(J8:J372)</f>
        <v>83.282191780821918</v>
      </c>
      <c r="P7" s="26">
        <f ca="1">COUNTIF(K8:K372,"&gt;0")/COUNT(K8:K372)</f>
        <v>9.8630136986301367E-2</v>
      </c>
      <c r="Q7" s="26">
        <f ca="1">SUMPRODUCT(G8:G372,M8:M372)/SUM(G8:G372)</f>
        <v>0.99535605861069909</v>
      </c>
    </row>
    <row r="8" spans="2:17" x14ac:dyDescent="0.25">
      <c r="B8" s="2">
        <v>1</v>
      </c>
      <c r="C8" s="5">
        <f>J7</f>
        <v>159</v>
      </c>
      <c r="D8" s="5">
        <f>L7</f>
        <v>121</v>
      </c>
      <c r="E8" s="5">
        <f>SUM(C8:D8)</f>
        <v>280</v>
      </c>
      <c r="F8" s="5">
        <f>K7</f>
        <v>0</v>
      </c>
      <c r="G8" s="5">
        <f t="shared" ref="G8:G71" ca="1" si="0">RANDBETWEEN(DemandMin,DemandMax)</f>
        <v>193</v>
      </c>
      <c r="H8" s="5">
        <f>MIN(F8,E8)</f>
        <v>0</v>
      </c>
      <c r="I8" s="5">
        <f ca="1">MIN(G8,E8-H8)</f>
        <v>193</v>
      </c>
      <c r="J8" s="5">
        <f ca="1">E8-H8-I8</f>
        <v>87</v>
      </c>
      <c r="K8" s="5">
        <f ca="1">F8+G8-H8-I8</f>
        <v>0</v>
      </c>
      <c r="L8" s="5">
        <f t="shared" ref="L8:L71" ca="1" si="1">MAX(0,BaseStock-(J8-K8))</f>
        <v>193</v>
      </c>
      <c r="M8" s="11">
        <f ca="1">IFERROR(I8/G8,1)</f>
        <v>1</v>
      </c>
    </row>
    <row r="9" spans="2:17" x14ac:dyDescent="0.25">
      <c r="B9" s="2">
        <v>2</v>
      </c>
      <c r="C9" s="5">
        <f t="shared" ref="C9:C72" ca="1" si="2">J8</f>
        <v>87</v>
      </c>
      <c r="D9" s="5">
        <f t="shared" ref="D9:D72" ca="1" si="3">L8</f>
        <v>193</v>
      </c>
      <c r="E9" s="5">
        <f t="shared" ref="E9:E72" ca="1" si="4">SUM(C9:D9)</f>
        <v>280</v>
      </c>
      <c r="F9" s="5">
        <f t="shared" ref="F9:F72" ca="1" si="5">K8</f>
        <v>0</v>
      </c>
      <c r="G9" s="5">
        <f t="shared" ca="1" si="0"/>
        <v>281</v>
      </c>
      <c r="H9" s="5">
        <f t="shared" ref="H9:H72" ca="1" si="6">MIN(F9,E9)</f>
        <v>0</v>
      </c>
      <c r="I9" s="5">
        <f t="shared" ref="I9:I72" ca="1" si="7">MIN(G9,E9-H9)</f>
        <v>280</v>
      </c>
      <c r="J9" s="5">
        <f t="shared" ref="J9:J72" ca="1" si="8">E9-H9-I9</f>
        <v>0</v>
      </c>
      <c r="K9" s="5">
        <f t="shared" ref="K9:K72" ca="1" si="9">F9+G9-H9-I9</f>
        <v>1</v>
      </c>
      <c r="L9" s="5">
        <f t="shared" ca="1" si="1"/>
        <v>281</v>
      </c>
      <c r="M9" s="11">
        <f t="shared" ref="M9:M72" ca="1" si="10">IFERROR(I9/G9,1)</f>
        <v>0.99644128113879005</v>
      </c>
    </row>
    <row r="10" spans="2:17" x14ac:dyDescent="0.25">
      <c r="B10" s="2">
        <v>3</v>
      </c>
      <c r="C10" s="5">
        <f t="shared" ca="1" si="2"/>
        <v>0</v>
      </c>
      <c r="D10" s="5">
        <f t="shared" ca="1" si="3"/>
        <v>281</v>
      </c>
      <c r="E10" s="5">
        <f t="shared" ca="1" si="4"/>
        <v>281</v>
      </c>
      <c r="F10" s="5">
        <f t="shared" ca="1" si="5"/>
        <v>1</v>
      </c>
      <c r="G10" s="5">
        <f t="shared" ca="1" si="0"/>
        <v>174</v>
      </c>
      <c r="H10" s="5">
        <f t="shared" ca="1" si="6"/>
        <v>1</v>
      </c>
      <c r="I10" s="5">
        <f t="shared" ca="1" si="7"/>
        <v>174</v>
      </c>
      <c r="J10" s="5">
        <f t="shared" ca="1" si="8"/>
        <v>106</v>
      </c>
      <c r="K10" s="5">
        <f t="shared" ca="1" si="9"/>
        <v>0</v>
      </c>
      <c r="L10" s="5">
        <f t="shared" ca="1" si="1"/>
        <v>174</v>
      </c>
      <c r="M10" s="11">
        <f t="shared" ca="1" si="10"/>
        <v>1</v>
      </c>
    </row>
    <row r="11" spans="2:17" x14ac:dyDescent="0.25">
      <c r="B11" s="2">
        <v>4</v>
      </c>
      <c r="C11" s="5">
        <f t="shared" ca="1" si="2"/>
        <v>106</v>
      </c>
      <c r="D11" s="5">
        <f t="shared" ca="1" si="3"/>
        <v>174</v>
      </c>
      <c r="E11" s="5">
        <f t="shared" ca="1" si="4"/>
        <v>280</v>
      </c>
      <c r="F11" s="5">
        <f t="shared" ca="1" si="5"/>
        <v>0</v>
      </c>
      <c r="G11" s="5">
        <f t="shared" ca="1" si="0"/>
        <v>142</v>
      </c>
      <c r="H11" s="5">
        <f t="shared" ca="1" si="6"/>
        <v>0</v>
      </c>
      <c r="I11" s="5">
        <f t="shared" ca="1" si="7"/>
        <v>142</v>
      </c>
      <c r="J11" s="5">
        <f t="shared" ca="1" si="8"/>
        <v>138</v>
      </c>
      <c r="K11" s="5">
        <f t="shared" ca="1" si="9"/>
        <v>0</v>
      </c>
      <c r="L11" s="5">
        <f t="shared" ca="1" si="1"/>
        <v>142</v>
      </c>
      <c r="M11" s="11">
        <f t="shared" ca="1" si="10"/>
        <v>1</v>
      </c>
    </row>
    <row r="12" spans="2:17" x14ac:dyDescent="0.25">
      <c r="B12" s="2">
        <v>5</v>
      </c>
      <c r="C12" s="5">
        <f t="shared" ca="1" si="2"/>
        <v>138</v>
      </c>
      <c r="D12" s="5">
        <f t="shared" ca="1" si="3"/>
        <v>142</v>
      </c>
      <c r="E12" s="5">
        <f t="shared" ca="1" si="4"/>
        <v>280</v>
      </c>
      <c r="F12" s="5">
        <f t="shared" ca="1" si="5"/>
        <v>0</v>
      </c>
      <c r="G12" s="5">
        <f t="shared" ca="1" si="0"/>
        <v>231</v>
      </c>
      <c r="H12" s="5">
        <f t="shared" ca="1" si="6"/>
        <v>0</v>
      </c>
      <c r="I12" s="5">
        <f t="shared" ca="1" si="7"/>
        <v>231</v>
      </c>
      <c r="J12" s="5">
        <f t="shared" ca="1" si="8"/>
        <v>49</v>
      </c>
      <c r="K12" s="5">
        <f t="shared" ca="1" si="9"/>
        <v>0</v>
      </c>
      <c r="L12" s="5">
        <f t="shared" ca="1" si="1"/>
        <v>231</v>
      </c>
      <c r="M12" s="11">
        <f t="shared" ca="1" si="10"/>
        <v>1</v>
      </c>
    </row>
    <row r="13" spans="2:17" x14ac:dyDescent="0.25">
      <c r="B13" s="2">
        <v>6</v>
      </c>
      <c r="C13" s="5">
        <f t="shared" ca="1" si="2"/>
        <v>49</v>
      </c>
      <c r="D13" s="5">
        <f t="shared" ca="1" si="3"/>
        <v>231</v>
      </c>
      <c r="E13" s="5">
        <f t="shared" ca="1" si="4"/>
        <v>280</v>
      </c>
      <c r="F13" s="5">
        <f t="shared" ca="1" si="5"/>
        <v>0</v>
      </c>
      <c r="G13" s="5">
        <f t="shared" ca="1" si="0"/>
        <v>183</v>
      </c>
      <c r="H13" s="5">
        <f t="shared" ca="1" si="6"/>
        <v>0</v>
      </c>
      <c r="I13" s="5">
        <f t="shared" ca="1" si="7"/>
        <v>183</v>
      </c>
      <c r="J13" s="5">
        <f t="shared" ca="1" si="8"/>
        <v>97</v>
      </c>
      <c r="K13" s="5">
        <f t="shared" ca="1" si="9"/>
        <v>0</v>
      </c>
      <c r="L13" s="5">
        <f t="shared" ca="1" si="1"/>
        <v>183</v>
      </c>
      <c r="M13" s="11">
        <f t="shared" ca="1" si="10"/>
        <v>1</v>
      </c>
    </row>
    <row r="14" spans="2:17" x14ac:dyDescent="0.25">
      <c r="B14" s="2">
        <v>7</v>
      </c>
      <c r="C14" s="5">
        <f t="shared" ca="1" si="2"/>
        <v>97</v>
      </c>
      <c r="D14" s="5">
        <f t="shared" ca="1" si="3"/>
        <v>183</v>
      </c>
      <c r="E14" s="5">
        <f t="shared" ca="1" si="4"/>
        <v>280</v>
      </c>
      <c r="F14" s="5">
        <f t="shared" ca="1" si="5"/>
        <v>0</v>
      </c>
      <c r="G14" s="5">
        <f t="shared" ca="1" si="0"/>
        <v>212</v>
      </c>
      <c r="H14" s="5">
        <f t="shared" ca="1" si="6"/>
        <v>0</v>
      </c>
      <c r="I14" s="5">
        <f t="shared" ca="1" si="7"/>
        <v>212</v>
      </c>
      <c r="J14" s="5">
        <f t="shared" ca="1" si="8"/>
        <v>68</v>
      </c>
      <c r="K14" s="5">
        <f t="shared" ca="1" si="9"/>
        <v>0</v>
      </c>
      <c r="L14" s="5">
        <f t="shared" ca="1" si="1"/>
        <v>212</v>
      </c>
      <c r="M14" s="11">
        <f t="shared" ca="1" si="10"/>
        <v>1</v>
      </c>
    </row>
    <row r="15" spans="2:17" x14ac:dyDescent="0.25">
      <c r="B15" s="2">
        <v>8</v>
      </c>
      <c r="C15" s="5">
        <f t="shared" ca="1" si="2"/>
        <v>68</v>
      </c>
      <c r="D15" s="5">
        <f t="shared" ca="1" si="3"/>
        <v>212</v>
      </c>
      <c r="E15" s="5">
        <f t="shared" ca="1" si="4"/>
        <v>280</v>
      </c>
      <c r="F15" s="5">
        <f t="shared" ca="1" si="5"/>
        <v>0</v>
      </c>
      <c r="G15" s="5">
        <f t="shared" ca="1" si="0"/>
        <v>139</v>
      </c>
      <c r="H15" s="5">
        <f t="shared" ca="1" si="6"/>
        <v>0</v>
      </c>
      <c r="I15" s="5">
        <f t="shared" ca="1" si="7"/>
        <v>139</v>
      </c>
      <c r="J15" s="5">
        <f t="shared" ca="1" si="8"/>
        <v>141</v>
      </c>
      <c r="K15" s="5">
        <f t="shared" ca="1" si="9"/>
        <v>0</v>
      </c>
      <c r="L15" s="5">
        <f t="shared" ca="1" si="1"/>
        <v>139</v>
      </c>
      <c r="M15" s="11">
        <f t="shared" ca="1" si="10"/>
        <v>1</v>
      </c>
      <c r="O15" t="s">
        <v>16</v>
      </c>
    </row>
    <row r="16" spans="2:17" x14ac:dyDescent="0.25">
      <c r="B16" s="2">
        <v>9</v>
      </c>
      <c r="C16" s="5">
        <f t="shared" ca="1" si="2"/>
        <v>141</v>
      </c>
      <c r="D16" s="5">
        <f t="shared" ca="1" si="3"/>
        <v>139</v>
      </c>
      <c r="E16" s="5">
        <f t="shared" ca="1" si="4"/>
        <v>280</v>
      </c>
      <c r="F16" s="5">
        <f t="shared" ca="1" si="5"/>
        <v>0</v>
      </c>
      <c r="G16" s="5">
        <f t="shared" ca="1" si="0"/>
        <v>163</v>
      </c>
      <c r="H16" s="5">
        <f t="shared" ca="1" si="6"/>
        <v>0</v>
      </c>
      <c r="I16" s="5">
        <f t="shared" ca="1" si="7"/>
        <v>163</v>
      </c>
      <c r="J16" s="5">
        <f t="shared" ca="1" si="8"/>
        <v>117</v>
      </c>
      <c r="K16" s="5">
        <f t="shared" ca="1" si="9"/>
        <v>0</v>
      </c>
      <c r="L16" s="5">
        <f t="shared" ca="1" si="1"/>
        <v>163</v>
      </c>
      <c r="M16" s="11">
        <f t="shared" ca="1" si="10"/>
        <v>1</v>
      </c>
    </row>
    <row r="17" spans="2:13" x14ac:dyDescent="0.25">
      <c r="B17" s="2">
        <v>10</v>
      </c>
      <c r="C17" s="5">
        <f t="shared" ca="1" si="2"/>
        <v>117</v>
      </c>
      <c r="D17" s="5">
        <f t="shared" ca="1" si="3"/>
        <v>163</v>
      </c>
      <c r="E17" s="5">
        <f t="shared" ca="1" si="4"/>
        <v>280</v>
      </c>
      <c r="F17" s="5">
        <f t="shared" ca="1" si="5"/>
        <v>0</v>
      </c>
      <c r="G17" s="5">
        <f t="shared" ca="1" si="0"/>
        <v>124</v>
      </c>
      <c r="H17" s="5">
        <f t="shared" ca="1" si="6"/>
        <v>0</v>
      </c>
      <c r="I17" s="5">
        <f t="shared" ca="1" si="7"/>
        <v>124</v>
      </c>
      <c r="J17" s="5">
        <f t="shared" ca="1" si="8"/>
        <v>156</v>
      </c>
      <c r="K17" s="5">
        <f t="shared" ca="1" si="9"/>
        <v>0</v>
      </c>
      <c r="L17" s="5">
        <f t="shared" ca="1" si="1"/>
        <v>124</v>
      </c>
      <c r="M17" s="11">
        <f t="shared" ca="1" si="10"/>
        <v>1</v>
      </c>
    </row>
    <row r="18" spans="2:13" x14ac:dyDescent="0.25">
      <c r="B18" s="2">
        <v>11</v>
      </c>
      <c r="C18" s="5">
        <f t="shared" ca="1" si="2"/>
        <v>156</v>
      </c>
      <c r="D18" s="5">
        <f t="shared" ca="1" si="3"/>
        <v>124</v>
      </c>
      <c r="E18" s="5">
        <f t="shared" ca="1" si="4"/>
        <v>280</v>
      </c>
      <c r="F18" s="5">
        <f t="shared" ca="1" si="5"/>
        <v>0</v>
      </c>
      <c r="G18" s="5">
        <f t="shared" ca="1" si="0"/>
        <v>260</v>
      </c>
      <c r="H18" s="5">
        <f t="shared" ca="1" si="6"/>
        <v>0</v>
      </c>
      <c r="I18" s="5">
        <f t="shared" ca="1" si="7"/>
        <v>260</v>
      </c>
      <c r="J18" s="5">
        <f t="shared" ca="1" si="8"/>
        <v>20</v>
      </c>
      <c r="K18" s="5">
        <f t="shared" ca="1" si="9"/>
        <v>0</v>
      </c>
      <c r="L18" s="5">
        <f t="shared" ca="1" si="1"/>
        <v>260</v>
      </c>
      <c r="M18" s="11">
        <f t="shared" ca="1" si="10"/>
        <v>1</v>
      </c>
    </row>
    <row r="19" spans="2:13" x14ac:dyDescent="0.25">
      <c r="B19" s="2">
        <v>12</v>
      </c>
      <c r="C19" s="5">
        <f t="shared" ca="1" si="2"/>
        <v>20</v>
      </c>
      <c r="D19" s="5">
        <f t="shared" ca="1" si="3"/>
        <v>260</v>
      </c>
      <c r="E19" s="5">
        <f t="shared" ca="1" si="4"/>
        <v>280</v>
      </c>
      <c r="F19" s="5">
        <f t="shared" ca="1" si="5"/>
        <v>0</v>
      </c>
      <c r="G19" s="5">
        <f t="shared" ca="1" si="0"/>
        <v>131</v>
      </c>
      <c r="H19" s="5">
        <f t="shared" ca="1" si="6"/>
        <v>0</v>
      </c>
      <c r="I19" s="5">
        <f t="shared" ca="1" si="7"/>
        <v>131</v>
      </c>
      <c r="J19" s="5">
        <f t="shared" ca="1" si="8"/>
        <v>149</v>
      </c>
      <c r="K19" s="5">
        <f t="shared" ca="1" si="9"/>
        <v>0</v>
      </c>
      <c r="L19" s="5">
        <f t="shared" ca="1" si="1"/>
        <v>131</v>
      </c>
      <c r="M19" s="11">
        <f t="shared" ca="1" si="10"/>
        <v>1</v>
      </c>
    </row>
    <row r="20" spans="2:13" x14ac:dyDescent="0.25">
      <c r="B20" s="2">
        <v>13</v>
      </c>
      <c r="C20" s="5">
        <f t="shared" ca="1" si="2"/>
        <v>149</v>
      </c>
      <c r="D20" s="5">
        <f t="shared" ca="1" si="3"/>
        <v>131</v>
      </c>
      <c r="E20" s="5">
        <f t="shared" ca="1" si="4"/>
        <v>280</v>
      </c>
      <c r="F20" s="5">
        <f t="shared" ca="1" si="5"/>
        <v>0</v>
      </c>
      <c r="G20" s="5">
        <f t="shared" ca="1" si="0"/>
        <v>142</v>
      </c>
      <c r="H20" s="5">
        <f t="shared" ca="1" si="6"/>
        <v>0</v>
      </c>
      <c r="I20" s="5">
        <f t="shared" ca="1" si="7"/>
        <v>142</v>
      </c>
      <c r="J20" s="5">
        <f t="shared" ca="1" si="8"/>
        <v>138</v>
      </c>
      <c r="K20" s="5">
        <f t="shared" ca="1" si="9"/>
        <v>0</v>
      </c>
      <c r="L20" s="5">
        <f t="shared" ca="1" si="1"/>
        <v>142</v>
      </c>
      <c r="M20" s="11">
        <f t="shared" ca="1" si="10"/>
        <v>1</v>
      </c>
    </row>
    <row r="21" spans="2:13" x14ac:dyDescent="0.25">
      <c r="B21" s="2">
        <v>14</v>
      </c>
      <c r="C21" s="5">
        <f t="shared" ca="1" si="2"/>
        <v>138</v>
      </c>
      <c r="D21" s="5">
        <f t="shared" ca="1" si="3"/>
        <v>142</v>
      </c>
      <c r="E21" s="5">
        <f t="shared" ca="1" si="4"/>
        <v>280</v>
      </c>
      <c r="F21" s="5">
        <f t="shared" ca="1" si="5"/>
        <v>0</v>
      </c>
      <c r="G21" s="5">
        <f t="shared" ca="1" si="0"/>
        <v>177</v>
      </c>
      <c r="H21" s="5">
        <f t="shared" ca="1" si="6"/>
        <v>0</v>
      </c>
      <c r="I21" s="5">
        <f t="shared" ca="1" si="7"/>
        <v>177</v>
      </c>
      <c r="J21" s="5">
        <f t="shared" ca="1" si="8"/>
        <v>103</v>
      </c>
      <c r="K21" s="5">
        <f t="shared" ca="1" si="9"/>
        <v>0</v>
      </c>
      <c r="L21" s="5">
        <f t="shared" ca="1" si="1"/>
        <v>177</v>
      </c>
      <c r="M21" s="11">
        <f t="shared" ca="1" si="10"/>
        <v>1</v>
      </c>
    </row>
    <row r="22" spans="2:13" x14ac:dyDescent="0.25">
      <c r="B22" s="2">
        <v>15</v>
      </c>
      <c r="C22" s="5">
        <f t="shared" ca="1" si="2"/>
        <v>103</v>
      </c>
      <c r="D22" s="5">
        <f t="shared" ca="1" si="3"/>
        <v>177</v>
      </c>
      <c r="E22" s="5">
        <f t="shared" ca="1" si="4"/>
        <v>280</v>
      </c>
      <c r="F22" s="5">
        <f t="shared" ca="1" si="5"/>
        <v>0</v>
      </c>
      <c r="G22" s="5">
        <f t="shared" ca="1" si="0"/>
        <v>142</v>
      </c>
      <c r="H22" s="5">
        <f t="shared" ca="1" si="6"/>
        <v>0</v>
      </c>
      <c r="I22" s="5">
        <f t="shared" ca="1" si="7"/>
        <v>142</v>
      </c>
      <c r="J22" s="5">
        <f t="shared" ca="1" si="8"/>
        <v>138</v>
      </c>
      <c r="K22" s="5">
        <f t="shared" ca="1" si="9"/>
        <v>0</v>
      </c>
      <c r="L22" s="5">
        <f t="shared" ca="1" si="1"/>
        <v>142</v>
      </c>
      <c r="M22" s="11">
        <f t="shared" ca="1" si="10"/>
        <v>1</v>
      </c>
    </row>
    <row r="23" spans="2:13" x14ac:dyDescent="0.25">
      <c r="B23" s="2">
        <v>16</v>
      </c>
      <c r="C23" s="5">
        <f t="shared" ca="1" si="2"/>
        <v>138</v>
      </c>
      <c r="D23" s="5">
        <f t="shared" ca="1" si="3"/>
        <v>142</v>
      </c>
      <c r="E23" s="5">
        <f t="shared" ca="1" si="4"/>
        <v>280</v>
      </c>
      <c r="F23" s="5">
        <f t="shared" ca="1" si="5"/>
        <v>0</v>
      </c>
      <c r="G23" s="5">
        <f t="shared" ca="1" si="0"/>
        <v>174</v>
      </c>
      <c r="H23" s="5">
        <f t="shared" ca="1" si="6"/>
        <v>0</v>
      </c>
      <c r="I23" s="5">
        <f t="shared" ca="1" si="7"/>
        <v>174</v>
      </c>
      <c r="J23" s="5">
        <f t="shared" ca="1" si="8"/>
        <v>106</v>
      </c>
      <c r="K23" s="5">
        <f t="shared" ca="1" si="9"/>
        <v>0</v>
      </c>
      <c r="L23" s="5">
        <f t="shared" ca="1" si="1"/>
        <v>174</v>
      </c>
      <c r="M23" s="11">
        <f t="shared" ca="1" si="10"/>
        <v>1</v>
      </c>
    </row>
    <row r="24" spans="2:13" x14ac:dyDescent="0.25">
      <c r="B24" s="2">
        <v>17</v>
      </c>
      <c r="C24" s="5">
        <f t="shared" ca="1" si="2"/>
        <v>106</v>
      </c>
      <c r="D24" s="5">
        <f t="shared" ca="1" si="3"/>
        <v>174</v>
      </c>
      <c r="E24" s="5">
        <f t="shared" ca="1" si="4"/>
        <v>280</v>
      </c>
      <c r="F24" s="5">
        <f t="shared" ca="1" si="5"/>
        <v>0</v>
      </c>
      <c r="G24" s="5">
        <f t="shared" ca="1" si="0"/>
        <v>235</v>
      </c>
      <c r="H24" s="5">
        <f t="shared" ca="1" si="6"/>
        <v>0</v>
      </c>
      <c r="I24" s="5">
        <f t="shared" ca="1" si="7"/>
        <v>235</v>
      </c>
      <c r="J24" s="5">
        <f t="shared" ca="1" si="8"/>
        <v>45</v>
      </c>
      <c r="K24" s="5">
        <f t="shared" ca="1" si="9"/>
        <v>0</v>
      </c>
      <c r="L24" s="5">
        <f t="shared" ca="1" si="1"/>
        <v>235</v>
      </c>
      <c r="M24" s="11">
        <f t="shared" ca="1" si="10"/>
        <v>1</v>
      </c>
    </row>
    <row r="25" spans="2:13" x14ac:dyDescent="0.25">
      <c r="B25" s="2">
        <v>18</v>
      </c>
      <c r="C25" s="5">
        <f t="shared" ca="1" si="2"/>
        <v>45</v>
      </c>
      <c r="D25" s="5">
        <f t="shared" ca="1" si="3"/>
        <v>235</v>
      </c>
      <c r="E25" s="5">
        <f t="shared" ca="1" si="4"/>
        <v>280</v>
      </c>
      <c r="F25" s="5">
        <f t="shared" ca="1" si="5"/>
        <v>0</v>
      </c>
      <c r="G25" s="5">
        <f t="shared" ca="1" si="0"/>
        <v>176</v>
      </c>
      <c r="H25" s="5">
        <f t="shared" ca="1" si="6"/>
        <v>0</v>
      </c>
      <c r="I25" s="5">
        <f t="shared" ca="1" si="7"/>
        <v>176</v>
      </c>
      <c r="J25" s="5">
        <f t="shared" ca="1" si="8"/>
        <v>104</v>
      </c>
      <c r="K25" s="5">
        <f t="shared" ca="1" si="9"/>
        <v>0</v>
      </c>
      <c r="L25" s="5">
        <f t="shared" ca="1" si="1"/>
        <v>176</v>
      </c>
      <c r="M25" s="11">
        <f t="shared" ca="1" si="10"/>
        <v>1</v>
      </c>
    </row>
    <row r="26" spans="2:13" x14ac:dyDescent="0.25">
      <c r="B26" s="2">
        <v>19</v>
      </c>
      <c r="C26" s="5">
        <f t="shared" ca="1" si="2"/>
        <v>104</v>
      </c>
      <c r="D26" s="5">
        <f t="shared" ca="1" si="3"/>
        <v>176</v>
      </c>
      <c r="E26" s="5">
        <f t="shared" ca="1" si="4"/>
        <v>280</v>
      </c>
      <c r="F26" s="5">
        <f t="shared" ca="1" si="5"/>
        <v>0</v>
      </c>
      <c r="G26" s="5">
        <f t="shared" ca="1" si="0"/>
        <v>160</v>
      </c>
      <c r="H26" s="5">
        <f t="shared" ca="1" si="6"/>
        <v>0</v>
      </c>
      <c r="I26" s="5">
        <f t="shared" ca="1" si="7"/>
        <v>160</v>
      </c>
      <c r="J26" s="5">
        <f t="shared" ca="1" si="8"/>
        <v>120</v>
      </c>
      <c r="K26" s="5">
        <f t="shared" ca="1" si="9"/>
        <v>0</v>
      </c>
      <c r="L26" s="5">
        <f t="shared" ca="1" si="1"/>
        <v>160</v>
      </c>
      <c r="M26" s="11">
        <f t="shared" ca="1" si="10"/>
        <v>1</v>
      </c>
    </row>
    <row r="27" spans="2:13" x14ac:dyDescent="0.25">
      <c r="B27" s="2">
        <v>20</v>
      </c>
      <c r="C27" s="5">
        <f t="shared" ca="1" si="2"/>
        <v>120</v>
      </c>
      <c r="D27" s="5">
        <f t="shared" ca="1" si="3"/>
        <v>160</v>
      </c>
      <c r="E27" s="5">
        <f t="shared" ca="1" si="4"/>
        <v>280</v>
      </c>
      <c r="F27" s="5">
        <f t="shared" ca="1" si="5"/>
        <v>0</v>
      </c>
      <c r="G27" s="5">
        <f t="shared" ca="1" si="0"/>
        <v>248</v>
      </c>
      <c r="H27" s="5">
        <f t="shared" ca="1" si="6"/>
        <v>0</v>
      </c>
      <c r="I27" s="5">
        <f t="shared" ca="1" si="7"/>
        <v>248</v>
      </c>
      <c r="J27" s="5">
        <f t="shared" ca="1" si="8"/>
        <v>32</v>
      </c>
      <c r="K27" s="5">
        <f t="shared" ca="1" si="9"/>
        <v>0</v>
      </c>
      <c r="L27" s="5">
        <f t="shared" ca="1" si="1"/>
        <v>248</v>
      </c>
      <c r="M27" s="11">
        <f t="shared" ca="1" si="10"/>
        <v>1</v>
      </c>
    </row>
    <row r="28" spans="2:13" x14ac:dyDescent="0.25">
      <c r="B28" s="2">
        <v>21</v>
      </c>
      <c r="C28" s="5">
        <f t="shared" ca="1" si="2"/>
        <v>32</v>
      </c>
      <c r="D28" s="5">
        <f t="shared" ca="1" si="3"/>
        <v>248</v>
      </c>
      <c r="E28" s="5">
        <f t="shared" ca="1" si="4"/>
        <v>280</v>
      </c>
      <c r="F28" s="5">
        <f t="shared" ca="1" si="5"/>
        <v>0</v>
      </c>
      <c r="G28" s="5">
        <f t="shared" ca="1" si="0"/>
        <v>155</v>
      </c>
      <c r="H28" s="5">
        <f t="shared" ca="1" si="6"/>
        <v>0</v>
      </c>
      <c r="I28" s="5">
        <f t="shared" ca="1" si="7"/>
        <v>155</v>
      </c>
      <c r="J28" s="5">
        <f t="shared" ca="1" si="8"/>
        <v>125</v>
      </c>
      <c r="K28" s="5">
        <f t="shared" ca="1" si="9"/>
        <v>0</v>
      </c>
      <c r="L28" s="5">
        <f t="shared" ca="1" si="1"/>
        <v>155</v>
      </c>
      <c r="M28" s="11">
        <f t="shared" ca="1" si="10"/>
        <v>1</v>
      </c>
    </row>
    <row r="29" spans="2:13" x14ac:dyDescent="0.25">
      <c r="B29" s="2">
        <v>22</v>
      </c>
      <c r="C29" s="5">
        <f t="shared" ca="1" si="2"/>
        <v>125</v>
      </c>
      <c r="D29" s="5">
        <f t="shared" ca="1" si="3"/>
        <v>155</v>
      </c>
      <c r="E29" s="5">
        <f t="shared" ca="1" si="4"/>
        <v>280</v>
      </c>
      <c r="F29" s="5">
        <f t="shared" ca="1" si="5"/>
        <v>0</v>
      </c>
      <c r="G29" s="5">
        <f t="shared" ca="1" si="0"/>
        <v>289</v>
      </c>
      <c r="H29" s="5">
        <f t="shared" ca="1" si="6"/>
        <v>0</v>
      </c>
      <c r="I29" s="5">
        <f t="shared" ca="1" si="7"/>
        <v>280</v>
      </c>
      <c r="J29" s="5">
        <f t="shared" ca="1" si="8"/>
        <v>0</v>
      </c>
      <c r="K29" s="5">
        <f t="shared" ca="1" si="9"/>
        <v>9</v>
      </c>
      <c r="L29" s="5">
        <f t="shared" ca="1" si="1"/>
        <v>289</v>
      </c>
      <c r="M29" s="11">
        <f t="shared" ca="1" si="10"/>
        <v>0.96885813148788924</v>
      </c>
    </row>
    <row r="30" spans="2:13" x14ac:dyDescent="0.25">
      <c r="B30" s="2">
        <v>23</v>
      </c>
      <c r="C30" s="5">
        <f t="shared" ca="1" si="2"/>
        <v>0</v>
      </c>
      <c r="D30" s="5">
        <f t="shared" ca="1" si="3"/>
        <v>289</v>
      </c>
      <c r="E30" s="5">
        <f t="shared" ca="1" si="4"/>
        <v>289</v>
      </c>
      <c r="F30" s="5">
        <f t="shared" ca="1" si="5"/>
        <v>9</v>
      </c>
      <c r="G30" s="5">
        <f t="shared" ca="1" si="0"/>
        <v>274</v>
      </c>
      <c r="H30" s="5">
        <f t="shared" ca="1" si="6"/>
        <v>9</v>
      </c>
      <c r="I30" s="5">
        <f t="shared" ca="1" si="7"/>
        <v>274</v>
      </c>
      <c r="J30" s="5">
        <f t="shared" ca="1" si="8"/>
        <v>6</v>
      </c>
      <c r="K30" s="5">
        <f t="shared" ca="1" si="9"/>
        <v>0</v>
      </c>
      <c r="L30" s="5">
        <f t="shared" ca="1" si="1"/>
        <v>274</v>
      </c>
      <c r="M30" s="11">
        <f t="shared" ca="1" si="10"/>
        <v>1</v>
      </c>
    </row>
    <row r="31" spans="2:13" x14ac:dyDescent="0.25">
      <c r="B31" s="2">
        <v>24</v>
      </c>
      <c r="C31" s="5">
        <f t="shared" ca="1" si="2"/>
        <v>6</v>
      </c>
      <c r="D31" s="5">
        <f t="shared" ca="1" si="3"/>
        <v>274</v>
      </c>
      <c r="E31" s="5">
        <f t="shared" ca="1" si="4"/>
        <v>280</v>
      </c>
      <c r="F31" s="5">
        <f t="shared" ca="1" si="5"/>
        <v>0</v>
      </c>
      <c r="G31" s="5">
        <f t="shared" ca="1" si="0"/>
        <v>174</v>
      </c>
      <c r="H31" s="5">
        <f t="shared" ca="1" si="6"/>
        <v>0</v>
      </c>
      <c r="I31" s="5">
        <f t="shared" ca="1" si="7"/>
        <v>174</v>
      </c>
      <c r="J31" s="5">
        <f t="shared" ca="1" si="8"/>
        <v>106</v>
      </c>
      <c r="K31" s="5">
        <f t="shared" ca="1" si="9"/>
        <v>0</v>
      </c>
      <c r="L31" s="5">
        <f t="shared" ca="1" si="1"/>
        <v>174</v>
      </c>
      <c r="M31" s="11">
        <f t="shared" ca="1" si="10"/>
        <v>1</v>
      </c>
    </row>
    <row r="32" spans="2:13" x14ac:dyDescent="0.25">
      <c r="B32" s="2">
        <v>25</v>
      </c>
      <c r="C32" s="5">
        <f t="shared" ca="1" si="2"/>
        <v>106</v>
      </c>
      <c r="D32" s="5">
        <f t="shared" ca="1" si="3"/>
        <v>174</v>
      </c>
      <c r="E32" s="5">
        <f t="shared" ca="1" si="4"/>
        <v>280</v>
      </c>
      <c r="F32" s="5">
        <f t="shared" ca="1" si="5"/>
        <v>0</v>
      </c>
      <c r="G32" s="5">
        <f t="shared" ca="1" si="0"/>
        <v>178</v>
      </c>
      <c r="H32" s="5">
        <f t="shared" ca="1" si="6"/>
        <v>0</v>
      </c>
      <c r="I32" s="5">
        <f t="shared" ca="1" si="7"/>
        <v>178</v>
      </c>
      <c r="J32" s="5">
        <f t="shared" ca="1" si="8"/>
        <v>102</v>
      </c>
      <c r="K32" s="5">
        <f t="shared" ca="1" si="9"/>
        <v>0</v>
      </c>
      <c r="L32" s="5">
        <f t="shared" ca="1" si="1"/>
        <v>178</v>
      </c>
      <c r="M32" s="11">
        <f t="shared" ca="1" si="10"/>
        <v>1</v>
      </c>
    </row>
    <row r="33" spans="2:13" x14ac:dyDescent="0.25">
      <c r="B33" s="2">
        <v>26</v>
      </c>
      <c r="C33" s="5">
        <f t="shared" ca="1" si="2"/>
        <v>102</v>
      </c>
      <c r="D33" s="5">
        <f t="shared" ca="1" si="3"/>
        <v>178</v>
      </c>
      <c r="E33" s="5">
        <f t="shared" ca="1" si="4"/>
        <v>280</v>
      </c>
      <c r="F33" s="5">
        <f t="shared" ca="1" si="5"/>
        <v>0</v>
      </c>
      <c r="G33" s="5">
        <f t="shared" ca="1" si="0"/>
        <v>270</v>
      </c>
      <c r="H33" s="5">
        <f t="shared" ca="1" si="6"/>
        <v>0</v>
      </c>
      <c r="I33" s="5">
        <f t="shared" ca="1" si="7"/>
        <v>270</v>
      </c>
      <c r="J33" s="5">
        <f t="shared" ca="1" si="8"/>
        <v>10</v>
      </c>
      <c r="K33" s="5">
        <f t="shared" ca="1" si="9"/>
        <v>0</v>
      </c>
      <c r="L33" s="5">
        <f t="shared" ca="1" si="1"/>
        <v>270</v>
      </c>
      <c r="M33" s="11">
        <f t="shared" ca="1" si="10"/>
        <v>1</v>
      </c>
    </row>
    <row r="34" spans="2:13" x14ac:dyDescent="0.25">
      <c r="B34" s="2">
        <v>27</v>
      </c>
      <c r="C34" s="5">
        <f t="shared" ca="1" si="2"/>
        <v>10</v>
      </c>
      <c r="D34" s="5">
        <f t="shared" ca="1" si="3"/>
        <v>270</v>
      </c>
      <c r="E34" s="5">
        <f t="shared" ca="1" si="4"/>
        <v>280</v>
      </c>
      <c r="F34" s="5">
        <f t="shared" ca="1" si="5"/>
        <v>0</v>
      </c>
      <c r="G34" s="5">
        <f t="shared" ca="1" si="0"/>
        <v>234</v>
      </c>
      <c r="H34" s="5">
        <f t="shared" ca="1" si="6"/>
        <v>0</v>
      </c>
      <c r="I34" s="5">
        <f t="shared" ca="1" si="7"/>
        <v>234</v>
      </c>
      <c r="J34" s="5">
        <f t="shared" ca="1" si="8"/>
        <v>46</v>
      </c>
      <c r="K34" s="5">
        <f t="shared" ca="1" si="9"/>
        <v>0</v>
      </c>
      <c r="L34" s="5">
        <f t="shared" ca="1" si="1"/>
        <v>234</v>
      </c>
      <c r="M34" s="11">
        <f t="shared" ca="1" si="10"/>
        <v>1</v>
      </c>
    </row>
    <row r="35" spans="2:13" x14ac:dyDescent="0.25">
      <c r="B35" s="2">
        <v>28</v>
      </c>
      <c r="C35" s="5">
        <f t="shared" ca="1" si="2"/>
        <v>46</v>
      </c>
      <c r="D35" s="5">
        <f t="shared" ca="1" si="3"/>
        <v>234</v>
      </c>
      <c r="E35" s="5">
        <f t="shared" ca="1" si="4"/>
        <v>280</v>
      </c>
      <c r="F35" s="5">
        <f t="shared" ca="1" si="5"/>
        <v>0</v>
      </c>
      <c r="G35" s="5">
        <f t="shared" ca="1" si="0"/>
        <v>263</v>
      </c>
      <c r="H35" s="5">
        <f t="shared" ca="1" si="6"/>
        <v>0</v>
      </c>
      <c r="I35" s="5">
        <f t="shared" ca="1" si="7"/>
        <v>263</v>
      </c>
      <c r="J35" s="5">
        <f t="shared" ca="1" si="8"/>
        <v>17</v>
      </c>
      <c r="K35" s="5">
        <f t="shared" ca="1" si="9"/>
        <v>0</v>
      </c>
      <c r="L35" s="5">
        <f t="shared" ca="1" si="1"/>
        <v>263</v>
      </c>
      <c r="M35" s="11">
        <f t="shared" ca="1" si="10"/>
        <v>1</v>
      </c>
    </row>
    <row r="36" spans="2:13" x14ac:dyDescent="0.25">
      <c r="B36" s="2">
        <v>29</v>
      </c>
      <c r="C36" s="5">
        <f t="shared" ca="1" si="2"/>
        <v>17</v>
      </c>
      <c r="D36" s="5">
        <f t="shared" ca="1" si="3"/>
        <v>263</v>
      </c>
      <c r="E36" s="5">
        <f t="shared" ca="1" si="4"/>
        <v>280</v>
      </c>
      <c r="F36" s="5">
        <f t="shared" ca="1" si="5"/>
        <v>0</v>
      </c>
      <c r="G36" s="5">
        <f t="shared" ca="1" si="0"/>
        <v>272</v>
      </c>
      <c r="H36" s="5">
        <f t="shared" ca="1" si="6"/>
        <v>0</v>
      </c>
      <c r="I36" s="5">
        <f t="shared" ca="1" si="7"/>
        <v>272</v>
      </c>
      <c r="J36" s="5">
        <f t="shared" ca="1" si="8"/>
        <v>8</v>
      </c>
      <c r="K36" s="5">
        <f t="shared" ca="1" si="9"/>
        <v>0</v>
      </c>
      <c r="L36" s="5">
        <f t="shared" ca="1" si="1"/>
        <v>272</v>
      </c>
      <c r="M36" s="11">
        <f t="shared" ca="1" si="10"/>
        <v>1</v>
      </c>
    </row>
    <row r="37" spans="2:13" x14ac:dyDescent="0.25">
      <c r="B37" s="2">
        <v>30</v>
      </c>
      <c r="C37" s="5">
        <f t="shared" ca="1" si="2"/>
        <v>8</v>
      </c>
      <c r="D37" s="5">
        <f t="shared" ca="1" si="3"/>
        <v>272</v>
      </c>
      <c r="E37" s="5">
        <f t="shared" ca="1" si="4"/>
        <v>280</v>
      </c>
      <c r="F37" s="5">
        <f t="shared" ca="1" si="5"/>
        <v>0</v>
      </c>
      <c r="G37" s="5">
        <f t="shared" ca="1" si="0"/>
        <v>195</v>
      </c>
      <c r="H37" s="5">
        <f t="shared" ca="1" si="6"/>
        <v>0</v>
      </c>
      <c r="I37" s="5">
        <f t="shared" ca="1" si="7"/>
        <v>195</v>
      </c>
      <c r="J37" s="5">
        <f t="shared" ca="1" si="8"/>
        <v>85</v>
      </c>
      <c r="K37" s="5">
        <f t="shared" ca="1" si="9"/>
        <v>0</v>
      </c>
      <c r="L37" s="5">
        <f t="shared" ca="1" si="1"/>
        <v>195</v>
      </c>
      <c r="M37" s="11">
        <f t="shared" ca="1" si="10"/>
        <v>1</v>
      </c>
    </row>
    <row r="38" spans="2:13" x14ac:dyDescent="0.25">
      <c r="B38" s="2">
        <v>31</v>
      </c>
      <c r="C38" s="5">
        <f t="shared" ca="1" si="2"/>
        <v>85</v>
      </c>
      <c r="D38" s="5">
        <f t="shared" ca="1" si="3"/>
        <v>195</v>
      </c>
      <c r="E38" s="5">
        <f t="shared" ca="1" si="4"/>
        <v>280</v>
      </c>
      <c r="F38" s="5">
        <f t="shared" ca="1" si="5"/>
        <v>0</v>
      </c>
      <c r="G38" s="5">
        <f t="shared" ca="1" si="0"/>
        <v>198</v>
      </c>
      <c r="H38" s="5">
        <f t="shared" ca="1" si="6"/>
        <v>0</v>
      </c>
      <c r="I38" s="5">
        <f t="shared" ca="1" si="7"/>
        <v>198</v>
      </c>
      <c r="J38" s="5">
        <f t="shared" ca="1" si="8"/>
        <v>82</v>
      </c>
      <c r="K38" s="5">
        <f t="shared" ca="1" si="9"/>
        <v>0</v>
      </c>
      <c r="L38" s="5">
        <f t="shared" ca="1" si="1"/>
        <v>198</v>
      </c>
      <c r="M38" s="11">
        <f t="shared" ca="1" si="10"/>
        <v>1</v>
      </c>
    </row>
    <row r="39" spans="2:13" x14ac:dyDescent="0.25">
      <c r="B39" s="2">
        <v>32</v>
      </c>
      <c r="C39" s="5">
        <f t="shared" ca="1" si="2"/>
        <v>82</v>
      </c>
      <c r="D39" s="5">
        <f t="shared" ca="1" si="3"/>
        <v>198</v>
      </c>
      <c r="E39" s="5">
        <f t="shared" ca="1" si="4"/>
        <v>280</v>
      </c>
      <c r="F39" s="5">
        <f t="shared" ca="1" si="5"/>
        <v>0</v>
      </c>
      <c r="G39" s="5">
        <f t="shared" ca="1" si="0"/>
        <v>209</v>
      </c>
      <c r="H39" s="5">
        <f t="shared" ca="1" si="6"/>
        <v>0</v>
      </c>
      <c r="I39" s="5">
        <f t="shared" ca="1" si="7"/>
        <v>209</v>
      </c>
      <c r="J39" s="5">
        <f t="shared" ca="1" si="8"/>
        <v>71</v>
      </c>
      <c r="K39" s="5">
        <f t="shared" ca="1" si="9"/>
        <v>0</v>
      </c>
      <c r="L39" s="5">
        <f t="shared" ca="1" si="1"/>
        <v>209</v>
      </c>
      <c r="M39" s="11">
        <f t="shared" ca="1" si="10"/>
        <v>1</v>
      </c>
    </row>
    <row r="40" spans="2:13" x14ac:dyDescent="0.25">
      <c r="B40" s="2">
        <v>33</v>
      </c>
      <c r="C40" s="5">
        <f t="shared" ca="1" si="2"/>
        <v>71</v>
      </c>
      <c r="D40" s="5">
        <f t="shared" ca="1" si="3"/>
        <v>209</v>
      </c>
      <c r="E40" s="5">
        <f t="shared" ca="1" si="4"/>
        <v>280</v>
      </c>
      <c r="F40" s="5">
        <f t="shared" ca="1" si="5"/>
        <v>0</v>
      </c>
      <c r="G40" s="5">
        <f t="shared" ca="1" si="0"/>
        <v>247</v>
      </c>
      <c r="H40" s="5">
        <f t="shared" ca="1" si="6"/>
        <v>0</v>
      </c>
      <c r="I40" s="5">
        <f t="shared" ca="1" si="7"/>
        <v>247</v>
      </c>
      <c r="J40" s="5">
        <f t="shared" ca="1" si="8"/>
        <v>33</v>
      </c>
      <c r="K40" s="5">
        <f t="shared" ca="1" si="9"/>
        <v>0</v>
      </c>
      <c r="L40" s="5">
        <f t="shared" ca="1" si="1"/>
        <v>247</v>
      </c>
      <c r="M40" s="11">
        <f t="shared" ca="1" si="10"/>
        <v>1</v>
      </c>
    </row>
    <row r="41" spans="2:13" x14ac:dyDescent="0.25">
      <c r="B41" s="2">
        <v>34</v>
      </c>
      <c r="C41" s="5">
        <f t="shared" ca="1" si="2"/>
        <v>33</v>
      </c>
      <c r="D41" s="5">
        <f t="shared" ca="1" si="3"/>
        <v>247</v>
      </c>
      <c r="E41" s="5">
        <f t="shared" ca="1" si="4"/>
        <v>280</v>
      </c>
      <c r="F41" s="5">
        <f t="shared" ca="1" si="5"/>
        <v>0</v>
      </c>
      <c r="G41" s="5">
        <f t="shared" ca="1" si="0"/>
        <v>285</v>
      </c>
      <c r="H41" s="5">
        <f t="shared" ca="1" si="6"/>
        <v>0</v>
      </c>
      <c r="I41" s="5">
        <f t="shared" ca="1" si="7"/>
        <v>280</v>
      </c>
      <c r="J41" s="5">
        <f t="shared" ca="1" si="8"/>
        <v>0</v>
      </c>
      <c r="K41" s="5">
        <f t="shared" ca="1" si="9"/>
        <v>5</v>
      </c>
      <c r="L41" s="5">
        <f t="shared" ca="1" si="1"/>
        <v>285</v>
      </c>
      <c r="M41" s="11">
        <f t="shared" ca="1" si="10"/>
        <v>0.98245614035087714</v>
      </c>
    </row>
    <row r="42" spans="2:13" x14ac:dyDescent="0.25">
      <c r="B42" s="2">
        <v>35</v>
      </c>
      <c r="C42" s="5">
        <f t="shared" ca="1" si="2"/>
        <v>0</v>
      </c>
      <c r="D42" s="5">
        <f t="shared" ca="1" si="3"/>
        <v>285</v>
      </c>
      <c r="E42" s="5">
        <f t="shared" ca="1" si="4"/>
        <v>285</v>
      </c>
      <c r="F42" s="5">
        <f t="shared" ca="1" si="5"/>
        <v>5</v>
      </c>
      <c r="G42" s="5">
        <f t="shared" ca="1" si="0"/>
        <v>148</v>
      </c>
      <c r="H42" s="5">
        <f t="shared" ca="1" si="6"/>
        <v>5</v>
      </c>
      <c r="I42" s="5">
        <f t="shared" ca="1" si="7"/>
        <v>148</v>
      </c>
      <c r="J42" s="5">
        <f t="shared" ca="1" si="8"/>
        <v>132</v>
      </c>
      <c r="K42" s="5">
        <f t="shared" ca="1" si="9"/>
        <v>0</v>
      </c>
      <c r="L42" s="5">
        <f t="shared" ca="1" si="1"/>
        <v>148</v>
      </c>
      <c r="M42" s="11">
        <f t="shared" ca="1" si="10"/>
        <v>1</v>
      </c>
    </row>
    <row r="43" spans="2:13" x14ac:dyDescent="0.25">
      <c r="B43" s="2">
        <v>36</v>
      </c>
      <c r="C43" s="5">
        <f t="shared" ca="1" si="2"/>
        <v>132</v>
      </c>
      <c r="D43" s="5">
        <f t="shared" ca="1" si="3"/>
        <v>148</v>
      </c>
      <c r="E43" s="5">
        <f t="shared" ca="1" si="4"/>
        <v>280</v>
      </c>
      <c r="F43" s="5">
        <f t="shared" ca="1" si="5"/>
        <v>0</v>
      </c>
      <c r="G43" s="5">
        <f t="shared" ca="1" si="0"/>
        <v>157</v>
      </c>
      <c r="H43" s="5">
        <f t="shared" ca="1" si="6"/>
        <v>0</v>
      </c>
      <c r="I43" s="5">
        <f t="shared" ca="1" si="7"/>
        <v>157</v>
      </c>
      <c r="J43" s="5">
        <f t="shared" ca="1" si="8"/>
        <v>123</v>
      </c>
      <c r="K43" s="5">
        <f t="shared" ca="1" si="9"/>
        <v>0</v>
      </c>
      <c r="L43" s="5">
        <f t="shared" ca="1" si="1"/>
        <v>157</v>
      </c>
      <c r="M43" s="11">
        <f t="shared" ca="1" si="10"/>
        <v>1</v>
      </c>
    </row>
    <row r="44" spans="2:13" x14ac:dyDescent="0.25">
      <c r="B44" s="2">
        <v>37</v>
      </c>
      <c r="C44" s="5">
        <f t="shared" ca="1" si="2"/>
        <v>123</v>
      </c>
      <c r="D44" s="5">
        <f t="shared" ca="1" si="3"/>
        <v>157</v>
      </c>
      <c r="E44" s="5">
        <f t="shared" ca="1" si="4"/>
        <v>280</v>
      </c>
      <c r="F44" s="5">
        <f t="shared" ca="1" si="5"/>
        <v>0</v>
      </c>
      <c r="G44" s="5">
        <f t="shared" ca="1" si="0"/>
        <v>151</v>
      </c>
      <c r="H44" s="5">
        <f t="shared" ca="1" si="6"/>
        <v>0</v>
      </c>
      <c r="I44" s="5">
        <f t="shared" ca="1" si="7"/>
        <v>151</v>
      </c>
      <c r="J44" s="5">
        <f t="shared" ca="1" si="8"/>
        <v>129</v>
      </c>
      <c r="K44" s="5">
        <f t="shared" ca="1" si="9"/>
        <v>0</v>
      </c>
      <c r="L44" s="5">
        <f t="shared" ca="1" si="1"/>
        <v>151</v>
      </c>
      <c r="M44" s="11">
        <f t="shared" ca="1" si="10"/>
        <v>1</v>
      </c>
    </row>
    <row r="45" spans="2:13" x14ac:dyDescent="0.25">
      <c r="B45" s="2">
        <v>38</v>
      </c>
      <c r="C45" s="5">
        <f t="shared" ca="1" si="2"/>
        <v>129</v>
      </c>
      <c r="D45" s="5">
        <f t="shared" ca="1" si="3"/>
        <v>151</v>
      </c>
      <c r="E45" s="5">
        <f t="shared" ca="1" si="4"/>
        <v>280</v>
      </c>
      <c r="F45" s="5">
        <f t="shared" ca="1" si="5"/>
        <v>0</v>
      </c>
      <c r="G45" s="5">
        <f t="shared" ca="1" si="0"/>
        <v>230</v>
      </c>
      <c r="H45" s="5">
        <f t="shared" ca="1" si="6"/>
        <v>0</v>
      </c>
      <c r="I45" s="5">
        <f t="shared" ca="1" si="7"/>
        <v>230</v>
      </c>
      <c r="J45" s="5">
        <f t="shared" ca="1" si="8"/>
        <v>50</v>
      </c>
      <c r="K45" s="5">
        <f t="shared" ca="1" si="9"/>
        <v>0</v>
      </c>
      <c r="L45" s="5">
        <f t="shared" ca="1" si="1"/>
        <v>230</v>
      </c>
      <c r="M45" s="11">
        <f t="shared" ca="1" si="10"/>
        <v>1</v>
      </c>
    </row>
    <row r="46" spans="2:13" x14ac:dyDescent="0.25">
      <c r="B46" s="2">
        <v>39</v>
      </c>
      <c r="C46" s="5">
        <f t="shared" ca="1" si="2"/>
        <v>50</v>
      </c>
      <c r="D46" s="5">
        <f t="shared" ca="1" si="3"/>
        <v>230</v>
      </c>
      <c r="E46" s="5">
        <f t="shared" ca="1" si="4"/>
        <v>280</v>
      </c>
      <c r="F46" s="5">
        <f t="shared" ca="1" si="5"/>
        <v>0</v>
      </c>
      <c r="G46" s="5">
        <f t="shared" ca="1" si="0"/>
        <v>144</v>
      </c>
      <c r="H46" s="5">
        <f t="shared" ca="1" si="6"/>
        <v>0</v>
      </c>
      <c r="I46" s="5">
        <f t="shared" ca="1" si="7"/>
        <v>144</v>
      </c>
      <c r="J46" s="5">
        <f t="shared" ca="1" si="8"/>
        <v>136</v>
      </c>
      <c r="K46" s="5">
        <f t="shared" ca="1" si="9"/>
        <v>0</v>
      </c>
      <c r="L46" s="5">
        <f t="shared" ca="1" si="1"/>
        <v>144</v>
      </c>
      <c r="M46" s="11">
        <f t="shared" ca="1" si="10"/>
        <v>1</v>
      </c>
    </row>
    <row r="47" spans="2:13" x14ac:dyDescent="0.25">
      <c r="B47" s="2">
        <v>40</v>
      </c>
      <c r="C47" s="5">
        <f t="shared" ca="1" si="2"/>
        <v>136</v>
      </c>
      <c r="D47" s="5">
        <f t="shared" ca="1" si="3"/>
        <v>144</v>
      </c>
      <c r="E47" s="5">
        <f t="shared" ca="1" si="4"/>
        <v>280</v>
      </c>
      <c r="F47" s="5">
        <f t="shared" ca="1" si="5"/>
        <v>0</v>
      </c>
      <c r="G47" s="5">
        <f t="shared" ca="1" si="0"/>
        <v>228</v>
      </c>
      <c r="H47" s="5">
        <f t="shared" ca="1" si="6"/>
        <v>0</v>
      </c>
      <c r="I47" s="5">
        <f t="shared" ca="1" si="7"/>
        <v>228</v>
      </c>
      <c r="J47" s="5">
        <f t="shared" ca="1" si="8"/>
        <v>52</v>
      </c>
      <c r="K47" s="5">
        <f t="shared" ca="1" si="9"/>
        <v>0</v>
      </c>
      <c r="L47" s="5">
        <f t="shared" ca="1" si="1"/>
        <v>228</v>
      </c>
      <c r="M47" s="11">
        <f t="shared" ca="1" si="10"/>
        <v>1</v>
      </c>
    </row>
    <row r="48" spans="2:13" x14ac:dyDescent="0.25">
      <c r="B48" s="2">
        <v>41</v>
      </c>
      <c r="C48" s="5">
        <f t="shared" ca="1" si="2"/>
        <v>52</v>
      </c>
      <c r="D48" s="5">
        <f t="shared" ca="1" si="3"/>
        <v>228</v>
      </c>
      <c r="E48" s="5">
        <f t="shared" ca="1" si="4"/>
        <v>280</v>
      </c>
      <c r="F48" s="5">
        <f t="shared" ca="1" si="5"/>
        <v>0</v>
      </c>
      <c r="G48" s="5">
        <f t="shared" ca="1" si="0"/>
        <v>118</v>
      </c>
      <c r="H48" s="5">
        <f t="shared" ca="1" si="6"/>
        <v>0</v>
      </c>
      <c r="I48" s="5">
        <f t="shared" ca="1" si="7"/>
        <v>118</v>
      </c>
      <c r="J48" s="5">
        <f t="shared" ca="1" si="8"/>
        <v>162</v>
      </c>
      <c r="K48" s="5">
        <f t="shared" ca="1" si="9"/>
        <v>0</v>
      </c>
      <c r="L48" s="5">
        <f t="shared" ca="1" si="1"/>
        <v>118</v>
      </c>
      <c r="M48" s="11">
        <f t="shared" ca="1" si="10"/>
        <v>1</v>
      </c>
    </row>
    <row r="49" spans="2:13" x14ac:dyDescent="0.25">
      <c r="B49" s="2">
        <v>42</v>
      </c>
      <c r="C49" s="5">
        <f t="shared" ca="1" si="2"/>
        <v>162</v>
      </c>
      <c r="D49" s="5">
        <f t="shared" ca="1" si="3"/>
        <v>118</v>
      </c>
      <c r="E49" s="5">
        <f t="shared" ca="1" si="4"/>
        <v>280</v>
      </c>
      <c r="F49" s="5">
        <f t="shared" ca="1" si="5"/>
        <v>0</v>
      </c>
      <c r="G49" s="5">
        <f t="shared" ca="1" si="0"/>
        <v>175</v>
      </c>
      <c r="H49" s="5">
        <f t="shared" ca="1" si="6"/>
        <v>0</v>
      </c>
      <c r="I49" s="5">
        <f t="shared" ca="1" si="7"/>
        <v>175</v>
      </c>
      <c r="J49" s="5">
        <f t="shared" ca="1" si="8"/>
        <v>105</v>
      </c>
      <c r="K49" s="5">
        <f t="shared" ca="1" si="9"/>
        <v>0</v>
      </c>
      <c r="L49" s="5">
        <f t="shared" ca="1" si="1"/>
        <v>175</v>
      </c>
      <c r="M49" s="11">
        <f t="shared" ca="1" si="10"/>
        <v>1</v>
      </c>
    </row>
    <row r="50" spans="2:13" x14ac:dyDescent="0.25">
      <c r="B50" s="2">
        <v>43</v>
      </c>
      <c r="C50" s="5">
        <f t="shared" ca="1" si="2"/>
        <v>105</v>
      </c>
      <c r="D50" s="5">
        <f t="shared" ca="1" si="3"/>
        <v>175</v>
      </c>
      <c r="E50" s="5">
        <f t="shared" ca="1" si="4"/>
        <v>280</v>
      </c>
      <c r="F50" s="5">
        <f t="shared" ca="1" si="5"/>
        <v>0</v>
      </c>
      <c r="G50" s="5">
        <f t="shared" ca="1" si="0"/>
        <v>271</v>
      </c>
      <c r="H50" s="5">
        <f t="shared" ca="1" si="6"/>
        <v>0</v>
      </c>
      <c r="I50" s="5">
        <f t="shared" ca="1" si="7"/>
        <v>271</v>
      </c>
      <c r="J50" s="5">
        <f t="shared" ca="1" si="8"/>
        <v>9</v>
      </c>
      <c r="K50" s="5">
        <f t="shared" ca="1" si="9"/>
        <v>0</v>
      </c>
      <c r="L50" s="5">
        <f t="shared" ca="1" si="1"/>
        <v>271</v>
      </c>
      <c r="M50" s="11">
        <f t="shared" ca="1" si="10"/>
        <v>1</v>
      </c>
    </row>
    <row r="51" spans="2:13" x14ac:dyDescent="0.25">
      <c r="B51" s="2">
        <v>44</v>
      </c>
      <c r="C51" s="5">
        <f t="shared" ca="1" si="2"/>
        <v>9</v>
      </c>
      <c r="D51" s="5">
        <f t="shared" ca="1" si="3"/>
        <v>271</v>
      </c>
      <c r="E51" s="5">
        <f t="shared" ca="1" si="4"/>
        <v>280</v>
      </c>
      <c r="F51" s="5">
        <f t="shared" ca="1" si="5"/>
        <v>0</v>
      </c>
      <c r="G51" s="5">
        <f t="shared" ca="1" si="0"/>
        <v>284</v>
      </c>
      <c r="H51" s="5">
        <f t="shared" ca="1" si="6"/>
        <v>0</v>
      </c>
      <c r="I51" s="5">
        <f t="shared" ca="1" si="7"/>
        <v>280</v>
      </c>
      <c r="J51" s="5">
        <f t="shared" ca="1" si="8"/>
        <v>0</v>
      </c>
      <c r="K51" s="5">
        <f t="shared" ca="1" si="9"/>
        <v>4</v>
      </c>
      <c r="L51" s="5">
        <f t="shared" ca="1" si="1"/>
        <v>284</v>
      </c>
      <c r="M51" s="11">
        <f t="shared" ca="1" si="10"/>
        <v>0.9859154929577465</v>
      </c>
    </row>
    <row r="52" spans="2:13" x14ac:dyDescent="0.25">
      <c r="B52" s="2">
        <v>45</v>
      </c>
      <c r="C52" s="5">
        <f t="shared" ca="1" si="2"/>
        <v>0</v>
      </c>
      <c r="D52" s="5">
        <f t="shared" ca="1" si="3"/>
        <v>284</v>
      </c>
      <c r="E52" s="5">
        <f t="shared" ca="1" si="4"/>
        <v>284</v>
      </c>
      <c r="F52" s="5">
        <f t="shared" ca="1" si="5"/>
        <v>4</v>
      </c>
      <c r="G52" s="5">
        <f t="shared" ca="1" si="0"/>
        <v>126</v>
      </c>
      <c r="H52" s="5">
        <f t="shared" ca="1" si="6"/>
        <v>4</v>
      </c>
      <c r="I52" s="5">
        <f t="shared" ca="1" si="7"/>
        <v>126</v>
      </c>
      <c r="J52" s="5">
        <f t="shared" ca="1" si="8"/>
        <v>154</v>
      </c>
      <c r="K52" s="5">
        <f t="shared" ca="1" si="9"/>
        <v>0</v>
      </c>
      <c r="L52" s="5">
        <f t="shared" ca="1" si="1"/>
        <v>126</v>
      </c>
      <c r="M52" s="11">
        <f t="shared" ca="1" si="10"/>
        <v>1</v>
      </c>
    </row>
    <row r="53" spans="2:13" x14ac:dyDescent="0.25">
      <c r="B53" s="2">
        <v>46</v>
      </c>
      <c r="C53" s="5">
        <f t="shared" ca="1" si="2"/>
        <v>154</v>
      </c>
      <c r="D53" s="5">
        <f t="shared" ca="1" si="3"/>
        <v>126</v>
      </c>
      <c r="E53" s="5">
        <f t="shared" ca="1" si="4"/>
        <v>280</v>
      </c>
      <c r="F53" s="5">
        <f t="shared" ca="1" si="5"/>
        <v>0</v>
      </c>
      <c r="G53" s="5">
        <f t="shared" ca="1" si="0"/>
        <v>121</v>
      </c>
      <c r="H53" s="5">
        <f t="shared" ca="1" si="6"/>
        <v>0</v>
      </c>
      <c r="I53" s="5">
        <f t="shared" ca="1" si="7"/>
        <v>121</v>
      </c>
      <c r="J53" s="5">
        <f t="shared" ca="1" si="8"/>
        <v>159</v>
      </c>
      <c r="K53" s="5">
        <f t="shared" ca="1" si="9"/>
        <v>0</v>
      </c>
      <c r="L53" s="5">
        <f t="shared" ca="1" si="1"/>
        <v>121</v>
      </c>
      <c r="M53" s="11">
        <f t="shared" ca="1" si="10"/>
        <v>1</v>
      </c>
    </row>
    <row r="54" spans="2:13" x14ac:dyDescent="0.25">
      <c r="B54" s="2">
        <v>47</v>
      </c>
      <c r="C54" s="5">
        <f t="shared" ca="1" si="2"/>
        <v>159</v>
      </c>
      <c r="D54" s="5">
        <f t="shared" ca="1" si="3"/>
        <v>121</v>
      </c>
      <c r="E54" s="5">
        <f t="shared" ca="1" si="4"/>
        <v>280</v>
      </c>
      <c r="F54" s="5">
        <f t="shared" ca="1" si="5"/>
        <v>0</v>
      </c>
      <c r="G54" s="5">
        <f t="shared" ca="1" si="0"/>
        <v>157</v>
      </c>
      <c r="H54" s="5">
        <f t="shared" ca="1" si="6"/>
        <v>0</v>
      </c>
      <c r="I54" s="5">
        <f t="shared" ca="1" si="7"/>
        <v>157</v>
      </c>
      <c r="J54" s="5">
        <f t="shared" ca="1" si="8"/>
        <v>123</v>
      </c>
      <c r="K54" s="5">
        <f t="shared" ca="1" si="9"/>
        <v>0</v>
      </c>
      <c r="L54" s="5">
        <f t="shared" ca="1" si="1"/>
        <v>157</v>
      </c>
      <c r="M54" s="11">
        <f t="shared" ca="1" si="10"/>
        <v>1</v>
      </c>
    </row>
    <row r="55" spans="2:13" x14ac:dyDescent="0.25">
      <c r="B55" s="2">
        <v>48</v>
      </c>
      <c r="C55" s="5">
        <f t="shared" ca="1" si="2"/>
        <v>123</v>
      </c>
      <c r="D55" s="5">
        <f t="shared" ca="1" si="3"/>
        <v>157</v>
      </c>
      <c r="E55" s="5">
        <f t="shared" ca="1" si="4"/>
        <v>280</v>
      </c>
      <c r="F55" s="5">
        <f t="shared" ca="1" si="5"/>
        <v>0</v>
      </c>
      <c r="G55" s="5">
        <f t="shared" ca="1" si="0"/>
        <v>101</v>
      </c>
      <c r="H55" s="5">
        <f t="shared" ca="1" si="6"/>
        <v>0</v>
      </c>
      <c r="I55" s="5">
        <f t="shared" ca="1" si="7"/>
        <v>101</v>
      </c>
      <c r="J55" s="5">
        <f t="shared" ca="1" si="8"/>
        <v>179</v>
      </c>
      <c r="K55" s="5">
        <f t="shared" ca="1" si="9"/>
        <v>0</v>
      </c>
      <c r="L55" s="5">
        <f t="shared" ca="1" si="1"/>
        <v>101</v>
      </c>
      <c r="M55" s="11">
        <f t="shared" ca="1" si="10"/>
        <v>1</v>
      </c>
    </row>
    <row r="56" spans="2:13" x14ac:dyDescent="0.25">
      <c r="B56" s="2">
        <v>49</v>
      </c>
      <c r="C56" s="5">
        <f t="shared" ca="1" si="2"/>
        <v>179</v>
      </c>
      <c r="D56" s="5">
        <f t="shared" ca="1" si="3"/>
        <v>101</v>
      </c>
      <c r="E56" s="5">
        <f t="shared" ca="1" si="4"/>
        <v>280</v>
      </c>
      <c r="F56" s="5">
        <f t="shared" ca="1" si="5"/>
        <v>0</v>
      </c>
      <c r="G56" s="5">
        <f t="shared" ca="1" si="0"/>
        <v>235</v>
      </c>
      <c r="H56" s="5">
        <f t="shared" ca="1" si="6"/>
        <v>0</v>
      </c>
      <c r="I56" s="5">
        <f t="shared" ca="1" si="7"/>
        <v>235</v>
      </c>
      <c r="J56" s="5">
        <f t="shared" ca="1" si="8"/>
        <v>45</v>
      </c>
      <c r="K56" s="5">
        <f t="shared" ca="1" si="9"/>
        <v>0</v>
      </c>
      <c r="L56" s="5">
        <f t="shared" ca="1" si="1"/>
        <v>235</v>
      </c>
      <c r="M56" s="11">
        <f t="shared" ca="1" si="10"/>
        <v>1</v>
      </c>
    </row>
    <row r="57" spans="2:13" x14ac:dyDescent="0.25">
      <c r="B57" s="2">
        <v>50</v>
      </c>
      <c r="C57" s="5">
        <f t="shared" ca="1" si="2"/>
        <v>45</v>
      </c>
      <c r="D57" s="5">
        <f t="shared" ca="1" si="3"/>
        <v>235</v>
      </c>
      <c r="E57" s="5">
        <f t="shared" ca="1" si="4"/>
        <v>280</v>
      </c>
      <c r="F57" s="5">
        <f t="shared" ca="1" si="5"/>
        <v>0</v>
      </c>
      <c r="G57" s="5">
        <f t="shared" ca="1" si="0"/>
        <v>140</v>
      </c>
      <c r="H57" s="5">
        <f t="shared" ca="1" si="6"/>
        <v>0</v>
      </c>
      <c r="I57" s="5">
        <f t="shared" ca="1" si="7"/>
        <v>140</v>
      </c>
      <c r="J57" s="5">
        <f t="shared" ca="1" si="8"/>
        <v>140</v>
      </c>
      <c r="K57" s="5">
        <f t="shared" ca="1" si="9"/>
        <v>0</v>
      </c>
      <c r="L57" s="5">
        <f t="shared" ca="1" si="1"/>
        <v>140</v>
      </c>
      <c r="M57" s="11">
        <f t="shared" ca="1" si="10"/>
        <v>1</v>
      </c>
    </row>
    <row r="58" spans="2:13" x14ac:dyDescent="0.25">
      <c r="B58" s="2">
        <v>51</v>
      </c>
      <c r="C58" s="5">
        <f t="shared" ca="1" si="2"/>
        <v>140</v>
      </c>
      <c r="D58" s="5">
        <f t="shared" ca="1" si="3"/>
        <v>140</v>
      </c>
      <c r="E58" s="5">
        <f t="shared" ca="1" si="4"/>
        <v>280</v>
      </c>
      <c r="F58" s="5">
        <f t="shared" ca="1" si="5"/>
        <v>0</v>
      </c>
      <c r="G58" s="5">
        <f t="shared" ca="1" si="0"/>
        <v>211</v>
      </c>
      <c r="H58" s="5">
        <f t="shared" ca="1" si="6"/>
        <v>0</v>
      </c>
      <c r="I58" s="5">
        <f t="shared" ca="1" si="7"/>
        <v>211</v>
      </c>
      <c r="J58" s="5">
        <f t="shared" ca="1" si="8"/>
        <v>69</v>
      </c>
      <c r="K58" s="5">
        <f t="shared" ca="1" si="9"/>
        <v>0</v>
      </c>
      <c r="L58" s="5">
        <f t="shared" ca="1" si="1"/>
        <v>211</v>
      </c>
      <c r="M58" s="11">
        <f t="shared" ca="1" si="10"/>
        <v>1</v>
      </c>
    </row>
    <row r="59" spans="2:13" x14ac:dyDescent="0.25">
      <c r="B59" s="2">
        <v>52</v>
      </c>
      <c r="C59" s="5">
        <f t="shared" ca="1" si="2"/>
        <v>69</v>
      </c>
      <c r="D59" s="5">
        <f t="shared" ca="1" si="3"/>
        <v>211</v>
      </c>
      <c r="E59" s="5">
        <f t="shared" ca="1" si="4"/>
        <v>280</v>
      </c>
      <c r="F59" s="5">
        <f t="shared" ca="1" si="5"/>
        <v>0</v>
      </c>
      <c r="G59" s="5">
        <f t="shared" ca="1" si="0"/>
        <v>256</v>
      </c>
      <c r="H59" s="5">
        <f t="shared" ca="1" si="6"/>
        <v>0</v>
      </c>
      <c r="I59" s="5">
        <f t="shared" ca="1" si="7"/>
        <v>256</v>
      </c>
      <c r="J59" s="5">
        <f t="shared" ca="1" si="8"/>
        <v>24</v>
      </c>
      <c r="K59" s="5">
        <f t="shared" ca="1" si="9"/>
        <v>0</v>
      </c>
      <c r="L59" s="5">
        <f t="shared" ca="1" si="1"/>
        <v>256</v>
      </c>
      <c r="M59" s="11">
        <f t="shared" ca="1" si="10"/>
        <v>1</v>
      </c>
    </row>
    <row r="60" spans="2:13" x14ac:dyDescent="0.25">
      <c r="B60" s="2">
        <v>53</v>
      </c>
      <c r="C60" s="5">
        <f t="shared" ca="1" si="2"/>
        <v>24</v>
      </c>
      <c r="D60" s="5">
        <f t="shared" ca="1" si="3"/>
        <v>256</v>
      </c>
      <c r="E60" s="5">
        <f t="shared" ca="1" si="4"/>
        <v>280</v>
      </c>
      <c r="F60" s="5">
        <f t="shared" ca="1" si="5"/>
        <v>0</v>
      </c>
      <c r="G60" s="5">
        <f t="shared" ca="1" si="0"/>
        <v>248</v>
      </c>
      <c r="H60" s="5">
        <f t="shared" ca="1" si="6"/>
        <v>0</v>
      </c>
      <c r="I60" s="5">
        <f t="shared" ca="1" si="7"/>
        <v>248</v>
      </c>
      <c r="J60" s="5">
        <f t="shared" ca="1" si="8"/>
        <v>32</v>
      </c>
      <c r="K60" s="5">
        <f t="shared" ca="1" si="9"/>
        <v>0</v>
      </c>
      <c r="L60" s="5">
        <f t="shared" ca="1" si="1"/>
        <v>248</v>
      </c>
      <c r="M60" s="11">
        <f t="shared" ca="1" si="10"/>
        <v>1</v>
      </c>
    </row>
    <row r="61" spans="2:13" x14ac:dyDescent="0.25">
      <c r="B61" s="2">
        <v>54</v>
      </c>
      <c r="C61" s="5">
        <f t="shared" ca="1" si="2"/>
        <v>32</v>
      </c>
      <c r="D61" s="5">
        <f t="shared" ca="1" si="3"/>
        <v>248</v>
      </c>
      <c r="E61" s="5">
        <f t="shared" ca="1" si="4"/>
        <v>280</v>
      </c>
      <c r="F61" s="5">
        <f t="shared" ca="1" si="5"/>
        <v>0</v>
      </c>
      <c r="G61" s="5">
        <f t="shared" ca="1" si="0"/>
        <v>253</v>
      </c>
      <c r="H61" s="5">
        <f t="shared" ca="1" si="6"/>
        <v>0</v>
      </c>
      <c r="I61" s="5">
        <f t="shared" ca="1" si="7"/>
        <v>253</v>
      </c>
      <c r="J61" s="5">
        <f t="shared" ca="1" si="8"/>
        <v>27</v>
      </c>
      <c r="K61" s="5">
        <f t="shared" ca="1" si="9"/>
        <v>0</v>
      </c>
      <c r="L61" s="5">
        <f t="shared" ca="1" si="1"/>
        <v>253</v>
      </c>
      <c r="M61" s="11">
        <f t="shared" ca="1" si="10"/>
        <v>1</v>
      </c>
    </row>
    <row r="62" spans="2:13" x14ac:dyDescent="0.25">
      <c r="B62" s="2">
        <v>55</v>
      </c>
      <c r="C62" s="5">
        <f t="shared" ca="1" si="2"/>
        <v>27</v>
      </c>
      <c r="D62" s="5">
        <f t="shared" ca="1" si="3"/>
        <v>253</v>
      </c>
      <c r="E62" s="5">
        <f t="shared" ca="1" si="4"/>
        <v>280</v>
      </c>
      <c r="F62" s="5">
        <f t="shared" ca="1" si="5"/>
        <v>0</v>
      </c>
      <c r="G62" s="5">
        <f t="shared" ca="1" si="0"/>
        <v>294</v>
      </c>
      <c r="H62" s="5">
        <f t="shared" ca="1" si="6"/>
        <v>0</v>
      </c>
      <c r="I62" s="5">
        <f t="shared" ca="1" si="7"/>
        <v>280</v>
      </c>
      <c r="J62" s="5">
        <f t="shared" ca="1" si="8"/>
        <v>0</v>
      </c>
      <c r="K62" s="5">
        <f t="shared" ca="1" si="9"/>
        <v>14</v>
      </c>
      <c r="L62" s="5">
        <f t="shared" ca="1" si="1"/>
        <v>294</v>
      </c>
      <c r="M62" s="11">
        <f t="shared" ca="1" si="10"/>
        <v>0.95238095238095233</v>
      </c>
    </row>
    <row r="63" spans="2:13" x14ac:dyDescent="0.25">
      <c r="B63" s="2">
        <v>56</v>
      </c>
      <c r="C63" s="5">
        <f t="shared" ca="1" si="2"/>
        <v>0</v>
      </c>
      <c r="D63" s="5">
        <f t="shared" ca="1" si="3"/>
        <v>294</v>
      </c>
      <c r="E63" s="5">
        <f t="shared" ca="1" si="4"/>
        <v>294</v>
      </c>
      <c r="F63" s="5">
        <f t="shared" ca="1" si="5"/>
        <v>14</v>
      </c>
      <c r="G63" s="5">
        <f t="shared" ca="1" si="0"/>
        <v>293</v>
      </c>
      <c r="H63" s="5">
        <f t="shared" ca="1" si="6"/>
        <v>14</v>
      </c>
      <c r="I63" s="5">
        <f t="shared" ca="1" si="7"/>
        <v>280</v>
      </c>
      <c r="J63" s="5">
        <f t="shared" ca="1" si="8"/>
        <v>0</v>
      </c>
      <c r="K63" s="5">
        <f t="shared" ca="1" si="9"/>
        <v>13</v>
      </c>
      <c r="L63" s="5">
        <f t="shared" ca="1" si="1"/>
        <v>293</v>
      </c>
      <c r="M63" s="11">
        <f t="shared" ca="1" si="10"/>
        <v>0.95563139931740615</v>
      </c>
    </row>
    <row r="64" spans="2:13" x14ac:dyDescent="0.25">
      <c r="B64" s="2">
        <v>57</v>
      </c>
      <c r="C64" s="5">
        <f t="shared" ca="1" si="2"/>
        <v>0</v>
      </c>
      <c r="D64" s="5">
        <f t="shared" ca="1" si="3"/>
        <v>293</v>
      </c>
      <c r="E64" s="5">
        <f t="shared" ca="1" si="4"/>
        <v>293</v>
      </c>
      <c r="F64" s="5">
        <f t="shared" ca="1" si="5"/>
        <v>13</v>
      </c>
      <c r="G64" s="5">
        <f t="shared" ca="1" si="0"/>
        <v>125</v>
      </c>
      <c r="H64" s="5">
        <f t="shared" ca="1" si="6"/>
        <v>13</v>
      </c>
      <c r="I64" s="5">
        <f t="shared" ca="1" si="7"/>
        <v>125</v>
      </c>
      <c r="J64" s="5">
        <f t="shared" ca="1" si="8"/>
        <v>155</v>
      </c>
      <c r="K64" s="5">
        <f t="shared" ca="1" si="9"/>
        <v>0</v>
      </c>
      <c r="L64" s="5">
        <f t="shared" ca="1" si="1"/>
        <v>125</v>
      </c>
      <c r="M64" s="11">
        <f t="shared" ca="1" si="10"/>
        <v>1</v>
      </c>
    </row>
    <row r="65" spans="2:13" x14ac:dyDescent="0.25">
      <c r="B65" s="2">
        <v>58</v>
      </c>
      <c r="C65" s="5">
        <f t="shared" ca="1" si="2"/>
        <v>155</v>
      </c>
      <c r="D65" s="5">
        <f t="shared" ca="1" si="3"/>
        <v>125</v>
      </c>
      <c r="E65" s="5">
        <f t="shared" ca="1" si="4"/>
        <v>280</v>
      </c>
      <c r="F65" s="5">
        <f t="shared" ca="1" si="5"/>
        <v>0</v>
      </c>
      <c r="G65" s="5">
        <f t="shared" ca="1" si="0"/>
        <v>121</v>
      </c>
      <c r="H65" s="5">
        <f t="shared" ca="1" si="6"/>
        <v>0</v>
      </c>
      <c r="I65" s="5">
        <f t="shared" ca="1" si="7"/>
        <v>121</v>
      </c>
      <c r="J65" s="5">
        <f t="shared" ca="1" si="8"/>
        <v>159</v>
      </c>
      <c r="K65" s="5">
        <f t="shared" ca="1" si="9"/>
        <v>0</v>
      </c>
      <c r="L65" s="5">
        <f t="shared" ca="1" si="1"/>
        <v>121</v>
      </c>
      <c r="M65" s="11">
        <f t="shared" ca="1" si="10"/>
        <v>1</v>
      </c>
    </row>
    <row r="66" spans="2:13" x14ac:dyDescent="0.25">
      <c r="B66" s="2">
        <v>59</v>
      </c>
      <c r="C66" s="5">
        <f t="shared" ca="1" si="2"/>
        <v>159</v>
      </c>
      <c r="D66" s="5">
        <f t="shared" ca="1" si="3"/>
        <v>121</v>
      </c>
      <c r="E66" s="5">
        <f t="shared" ca="1" si="4"/>
        <v>280</v>
      </c>
      <c r="F66" s="5">
        <f t="shared" ca="1" si="5"/>
        <v>0</v>
      </c>
      <c r="G66" s="5">
        <f t="shared" ca="1" si="0"/>
        <v>211</v>
      </c>
      <c r="H66" s="5">
        <f t="shared" ca="1" si="6"/>
        <v>0</v>
      </c>
      <c r="I66" s="5">
        <f t="shared" ca="1" si="7"/>
        <v>211</v>
      </c>
      <c r="J66" s="5">
        <f t="shared" ca="1" si="8"/>
        <v>69</v>
      </c>
      <c r="K66" s="5">
        <f t="shared" ca="1" si="9"/>
        <v>0</v>
      </c>
      <c r="L66" s="5">
        <f t="shared" ca="1" si="1"/>
        <v>211</v>
      </c>
      <c r="M66" s="11">
        <f t="shared" ca="1" si="10"/>
        <v>1</v>
      </c>
    </row>
    <row r="67" spans="2:13" x14ac:dyDescent="0.25">
      <c r="B67" s="2">
        <v>60</v>
      </c>
      <c r="C67" s="5">
        <f t="shared" ca="1" si="2"/>
        <v>69</v>
      </c>
      <c r="D67" s="5">
        <f t="shared" ca="1" si="3"/>
        <v>211</v>
      </c>
      <c r="E67" s="5">
        <f t="shared" ca="1" si="4"/>
        <v>280</v>
      </c>
      <c r="F67" s="5">
        <f t="shared" ca="1" si="5"/>
        <v>0</v>
      </c>
      <c r="G67" s="5">
        <f t="shared" ca="1" si="0"/>
        <v>228</v>
      </c>
      <c r="H67" s="5">
        <f t="shared" ca="1" si="6"/>
        <v>0</v>
      </c>
      <c r="I67" s="5">
        <f t="shared" ca="1" si="7"/>
        <v>228</v>
      </c>
      <c r="J67" s="5">
        <f t="shared" ca="1" si="8"/>
        <v>52</v>
      </c>
      <c r="K67" s="5">
        <f t="shared" ca="1" si="9"/>
        <v>0</v>
      </c>
      <c r="L67" s="5">
        <f t="shared" ca="1" si="1"/>
        <v>228</v>
      </c>
      <c r="M67" s="11">
        <f t="shared" ca="1" si="10"/>
        <v>1</v>
      </c>
    </row>
    <row r="68" spans="2:13" x14ac:dyDescent="0.25">
      <c r="B68" s="2">
        <v>61</v>
      </c>
      <c r="C68" s="5">
        <f t="shared" ca="1" si="2"/>
        <v>52</v>
      </c>
      <c r="D68" s="5">
        <f t="shared" ca="1" si="3"/>
        <v>228</v>
      </c>
      <c r="E68" s="5">
        <f t="shared" ca="1" si="4"/>
        <v>280</v>
      </c>
      <c r="F68" s="5">
        <f t="shared" ca="1" si="5"/>
        <v>0</v>
      </c>
      <c r="G68" s="5">
        <f t="shared" ca="1" si="0"/>
        <v>151</v>
      </c>
      <c r="H68" s="5">
        <f t="shared" ca="1" si="6"/>
        <v>0</v>
      </c>
      <c r="I68" s="5">
        <f t="shared" ca="1" si="7"/>
        <v>151</v>
      </c>
      <c r="J68" s="5">
        <f t="shared" ca="1" si="8"/>
        <v>129</v>
      </c>
      <c r="K68" s="5">
        <f t="shared" ca="1" si="9"/>
        <v>0</v>
      </c>
      <c r="L68" s="5">
        <f t="shared" ca="1" si="1"/>
        <v>151</v>
      </c>
      <c r="M68" s="11">
        <f t="shared" ca="1" si="10"/>
        <v>1</v>
      </c>
    </row>
    <row r="69" spans="2:13" x14ac:dyDescent="0.25">
      <c r="B69" s="2">
        <v>62</v>
      </c>
      <c r="C69" s="5">
        <f t="shared" ca="1" si="2"/>
        <v>129</v>
      </c>
      <c r="D69" s="5">
        <f t="shared" ca="1" si="3"/>
        <v>151</v>
      </c>
      <c r="E69" s="5">
        <f t="shared" ca="1" si="4"/>
        <v>280</v>
      </c>
      <c r="F69" s="5">
        <f t="shared" ca="1" si="5"/>
        <v>0</v>
      </c>
      <c r="G69" s="5">
        <f t="shared" ca="1" si="0"/>
        <v>264</v>
      </c>
      <c r="H69" s="5">
        <f t="shared" ca="1" si="6"/>
        <v>0</v>
      </c>
      <c r="I69" s="5">
        <f t="shared" ca="1" si="7"/>
        <v>264</v>
      </c>
      <c r="J69" s="5">
        <f t="shared" ca="1" si="8"/>
        <v>16</v>
      </c>
      <c r="K69" s="5">
        <f t="shared" ca="1" si="9"/>
        <v>0</v>
      </c>
      <c r="L69" s="5">
        <f t="shared" ca="1" si="1"/>
        <v>264</v>
      </c>
      <c r="M69" s="11">
        <f t="shared" ca="1" si="10"/>
        <v>1</v>
      </c>
    </row>
    <row r="70" spans="2:13" x14ac:dyDescent="0.25">
      <c r="B70" s="2">
        <v>63</v>
      </c>
      <c r="C70" s="5">
        <f t="shared" ca="1" si="2"/>
        <v>16</v>
      </c>
      <c r="D70" s="5">
        <f t="shared" ca="1" si="3"/>
        <v>264</v>
      </c>
      <c r="E70" s="5">
        <f t="shared" ca="1" si="4"/>
        <v>280</v>
      </c>
      <c r="F70" s="5">
        <f t="shared" ca="1" si="5"/>
        <v>0</v>
      </c>
      <c r="G70" s="5">
        <f t="shared" ca="1" si="0"/>
        <v>242</v>
      </c>
      <c r="H70" s="5">
        <f t="shared" ca="1" si="6"/>
        <v>0</v>
      </c>
      <c r="I70" s="5">
        <f t="shared" ca="1" si="7"/>
        <v>242</v>
      </c>
      <c r="J70" s="5">
        <f t="shared" ca="1" si="8"/>
        <v>38</v>
      </c>
      <c r="K70" s="5">
        <f t="shared" ca="1" si="9"/>
        <v>0</v>
      </c>
      <c r="L70" s="5">
        <f t="shared" ca="1" si="1"/>
        <v>242</v>
      </c>
      <c r="M70" s="11">
        <f t="shared" ca="1" si="10"/>
        <v>1</v>
      </c>
    </row>
    <row r="71" spans="2:13" x14ac:dyDescent="0.25">
      <c r="B71" s="2">
        <v>64</v>
      </c>
      <c r="C71" s="5">
        <f t="shared" ca="1" si="2"/>
        <v>38</v>
      </c>
      <c r="D71" s="5">
        <f t="shared" ca="1" si="3"/>
        <v>242</v>
      </c>
      <c r="E71" s="5">
        <f t="shared" ca="1" si="4"/>
        <v>280</v>
      </c>
      <c r="F71" s="5">
        <f t="shared" ca="1" si="5"/>
        <v>0</v>
      </c>
      <c r="G71" s="5">
        <f t="shared" ca="1" si="0"/>
        <v>147</v>
      </c>
      <c r="H71" s="5">
        <f t="shared" ca="1" si="6"/>
        <v>0</v>
      </c>
      <c r="I71" s="5">
        <f t="shared" ca="1" si="7"/>
        <v>147</v>
      </c>
      <c r="J71" s="5">
        <f t="shared" ca="1" si="8"/>
        <v>133</v>
      </c>
      <c r="K71" s="5">
        <f t="shared" ca="1" si="9"/>
        <v>0</v>
      </c>
      <c r="L71" s="5">
        <f t="shared" ca="1" si="1"/>
        <v>147</v>
      </c>
      <c r="M71" s="11">
        <f t="shared" ca="1" si="10"/>
        <v>1</v>
      </c>
    </row>
    <row r="72" spans="2:13" x14ac:dyDescent="0.25">
      <c r="B72" s="2">
        <v>65</v>
      </c>
      <c r="C72" s="5">
        <f t="shared" ca="1" si="2"/>
        <v>133</v>
      </c>
      <c r="D72" s="5">
        <f t="shared" ca="1" si="3"/>
        <v>147</v>
      </c>
      <c r="E72" s="5">
        <f t="shared" ca="1" si="4"/>
        <v>280</v>
      </c>
      <c r="F72" s="5">
        <f t="shared" ca="1" si="5"/>
        <v>0</v>
      </c>
      <c r="G72" s="5">
        <f t="shared" ref="G72:G135" ca="1" si="11">RANDBETWEEN(DemandMin,DemandMax)</f>
        <v>133</v>
      </c>
      <c r="H72" s="5">
        <f t="shared" ca="1" si="6"/>
        <v>0</v>
      </c>
      <c r="I72" s="5">
        <f t="shared" ca="1" si="7"/>
        <v>133</v>
      </c>
      <c r="J72" s="5">
        <f t="shared" ca="1" si="8"/>
        <v>147</v>
      </c>
      <c r="K72" s="5">
        <f t="shared" ca="1" si="9"/>
        <v>0</v>
      </c>
      <c r="L72" s="5">
        <f t="shared" ref="L72:L135" ca="1" si="12">MAX(0,BaseStock-(J72-K72))</f>
        <v>133</v>
      </c>
      <c r="M72" s="11">
        <f t="shared" ca="1" si="10"/>
        <v>1</v>
      </c>
    </row>
    <row r="73" spans="2:13" x14ac:dyDescent="0.25">
      <c r="B73" s="2">
        <v>66</v>
      </c>
      <c r="C73" s="5">
        <f t="shared" ref="C73:C136" ca="1" si="13">J72</f>
        <v>147</v>
      </c>
      <c r="D73" s="5">
        <f t="shared" ref="D73:D136" ca="1" si="14">L72</f>
        <v>133</v>
      </c>
      <c r="E73" s="5">
        <f t="shared" ref="E73:E136" ca="1" si="15">SUM(C73:D73)</f>
        <v>280</v>
      </c>
      <c r="F73" s="5">
        <f t="shared" ref="F73:F136" ca="1" si="16">K72</f>
        <v>0</v>
      </c>
      <c r="G73" s="5">
        <f t="shared" ca="1" si="11"/>
        <v>187</v>
      </c>
      <c r="H73" s="5">
        <f t="shared" ref="H73:H136" ca="1" si="17">MIN(F73,E73)</f>
        <v>0</v>
      </c>
      <c r="I73" s="5">
        <f t="shared" ref="I73:I136" ca="1" si="18">MIN(G73,E73-H73)</f>
        <v>187</v>
      </c>
      <c r="J73" s="5">
        <f t="shared" ref="J73:J136" ca="1" si="19">E73-H73-I73</f>
        <v>93</v>
      </c>
      <c r="K73" s="5">
        <f t="shared" ref="K73:K136" ca="1" si="20">F73+G73-H73-I73</f>
        <v>0</v>
      </c>
      <c r="L73" s="5">
        <f t="shared" ca="1" si="12"/>
        <v>187</v>
      </c>
      <c r="M73" s="11">
        <f t="shared" ref="M73:M136" ca="1" si="21">IFERROR(I73/G73,1)</f>
        <v>1</v>
      </c>
    </row>
    <row r="74" spans="2:13" x14ac:dyDescent="0.25">
      <c r="B74" s="2">
        <v>67</v>
      </c>
      <c r="C74" s="5">
        <f t="shared" ca="1" si="13"/>
        <v>93</v>
      </c>
      <c r="D74" s="5">
        <f t="shared" ca="1" si="14"/>
        <v>187</v>
      </c>
      <c r="E74" s="5">
        <f t="shared" ca="1" si="15"/>
        <v>280</v>
      </c>
      <c r="F74" s="5">
        <f t="shared" ca="1" si="16"/>
        <v>0</v>
      </c>
      <c r="G74" s="5">
        <f t="shared" ca="1" si="11"/>
        <v>105</v>
      </c>
      <c r="H74" s="5">
        <f t="shared" ca="1" si="17"/>
        <v>0</v>
      </c>
      <c r="I74" s="5">
        <f t="shared" ca="1" si="18"/>
        <v>105</v>
      </c>
      <c r="J74" s="5">
        <f t="shared" ca="1" si="19"/>
        <v>175</v>
      </c>
      <c r="K74" s="5">
        <f t="shared" ca="1" si="20"/>
        <v>0</v>
      </c>
      <c r="L74" s="5">
        <f t="shared" ca="1" si="12"/>
        <v>105</v>
      </c>
      <c r="M74" s="11">
        <f t="shared" ca="1" si="21"/>
        <v>1</v>
      </c>
    </row>
    <row r="75" spans="2:13" x14ac:dyDescent="0.25">
      <c r="B75" s="2">
        <v>68</v>
      </c>
      <c r="C75" s="5">
        <f t="shared" ca="1" si="13"/>
        <v>175</v>
      </c>
      <c r="D75" s="5">
        <f t="shared" ca="1" si="14"/>
        <v>105</v>
      </c>
      <c r="E75" s="5">
        <f t="shared" ca="1" si="15"/>
        <v>280</v>
      </c>
      <c r="F75" s="5">
        <f t="shared" ca="1" si="16"/>
        <v>0</v>
      </c>
      <c r="G75" s="5">
        <f t="shared" ca="1" si="11"/>
        <v>283</v>
      </c>
      <c r="H75" s="5">
        <f t="shared" ca="1" si="17"/>
        <v>0</v>
      </c>
      <c r="I75" s="5">
        <f t="shared" ca="1" si="18"/>
        <v>280</v>
      </c>
      <c r="J75" s="5">
        <f t="shared" ca="1" si="19"/>
        <v>0</v>
      </c>
      <c r="K75" s="5">
        <f t="shared" ca="1" si="20"/>
        <v>3</v>
      </c>
      <c r="L75" s="5">
        <f t="shared" ca="1" si="12"/>
        <v>283</v>
      </c>
      <c r="M75" s="11">
        <f t="shared" ca="1" si="21"/>
        <v>0.98939929328621912</v>
      </c>
    </row>
    <row r="76" spans="2:13" x14ac:dyDescent="0.25">
      <c r="B76" s="2">
        <v>69</v>
      </c>
      <c r="C76" s="5">
        <f t="shared" ca="1" si="13"/>
        <v>0</v>
      </c>
      <c r="D76" s="5">
        <f t="shared" ca="1" si="14"/>
        <v>283</v>
      </c>
      <c r="E76" s="5">
        <f t="shared" ca="1" si="15"/>
        <v>283</v>
      </c>
      <c r="F76" s="5">
        <f t="shared" ca="1" si="16"/>
        <v>3</v>
      </c>
      <c r="G76" s="5">
        <f t="shared" ca="1" si="11"/>
        <v>265</v>
      </c>
      <c r="H76" s="5">
        <f t="shared" ca="1" si="17"/>
        <v>3</v>
      </c>
      <c r="I76" s="5">
        <f t="shared" ca="1" si="18"/>
        <v>265</v>
      </c>
      <c r="J76" s="5">
        <f t="shared" ca="1" si="19"/>
        <v>15</v>
      </c>
      <c r="K76" s="5">
        <f t="shared" ca="1" si="20"/>
        <v>0</v>
      </c>
      <c r="L76" s="5">
        <f t="shared" ca="1" si="12"/>
        <v>265</v>
      </c>
      <c r="M76" s="11">
        <f t="shared" ca="1" si="21"/>
        <v>1</v>
      </c>
    </row>
    <row r="77" spans="2:13" x14ac:dyDescent="0.25">
      <c r="B77" s="2">
        <v>70</v>
      </c>
      <c r="C77" s="5">
        <f t="shared" ca="1" si="13"/>
        <v>15</v>
      </c>
      <c r="D77" s="5">
        <f t="shared" ca="1" si="14"/>
        <v>265</v>
      </c>
      <c r="E77" s="5">
        <f t="shared" ca="1" si="15"/>
        <v>280</v>
      </c>
      <c r="F77" s="5">
        <f t="shared" ca="1" si="16"/>
        <v>0</v>
      </c>
      <c r="G77" s="5">
        <f t="shared" ca="1" si="11"/>
        <v>247</v>
      </c>
      <c r="H77" s="5">
        <f t="shared" ca="1" si="17"/>
        <v>0</v>
      </c>
      <c r="I77" s="5">
        <f t="shared" ca="1" si="18"/>
        <v>247</v>
      </c>
      <c r="J77" s="5">
        <f t="shared" ca="1" si="19"/>
        <v>33</v>
      </c>
      <c r="K77" s="5">
        <f t="shared" ca="1" si="20"/>
        <v>0</v>
      </c>
      <c r="L77" s="5">
        <f t="shared" ca="1" si="12"/>
        <v>247</v>
      </c>
      <c r="M77" s="11">
        <f t="shared" ca="1" si="21"/>
        <v>1</v>
      </c>
    </row>
    <row r="78" spans="2:13" x14ac:dyDescent="0.25">
      <c r="B78" s="2">
        <v>71</v>
      </c>
      <c r="C78" s="5">
        <f t="shared" ca="1" si="13"/>
        <v>33</v>
      </c>
      <c r="D78" s="5">
        <f t="shared" ca="1" si="14"/>
        <v>247</v>
      </c>
      <c r="E78" s="5">
        <f t="shared" ca="1" si="15"/>
        <v>280</v>
      </c>
      <c r="F78" s="5">
        <f t="shared" ca="1" si="16"/>
        <v>0</v>
      </c>
      <c r="G78" s="5">
        <f t="shared" ca="1" si="11"/>
        <v>128</v>
      </c>
      <c r="H78" s="5">
        <f t="shared" ca="1" si="17"/>
        <v>0</v>
      </c>
      <c r="I78" s="5">
        <f t="shared" ca="1" si="18"/>
        <v>128</v>
      </c>
      <c r="J78" s="5">
        <f t="shared" ca="1" si="19"/>
        <v>152</v>
      </c>
      <c r="K78" s="5">
        <f t="shared" ca="1" si="20"/>
        <v>0</v>
      </c>
      <c r="L78" s="5">
        <f t="shared" ca="1" si="12"/>
        <v>128</v>
      </c>
      <c r="M78" s="11">
        <f t="shared" ca="1" si="21"/>
        <v>1</v>
      </c>
    </row>
    <row r="79" spans="2:13" x14ac:dyDescent="0.25">
      <c r="B79" s="2">
        <v>72</v>
      </c>
      <c r="C79" s="5">
        <f t="shared" ca="1" si="13"/>
        <v>152</v>
      </c>
      <c r="D79" s="5">
        <f t="shared" ca="1" si="14"/>
        <v>128</v>
      </c>
      <c r="E79" s="5">
        <f t="shared" ca="1" si="15"/>
        <v>280</v>
      </c>
      <c r="F79" s="5">
        <f t="shared" ca="1" si="16"/>
        <v>0</v>
      </c>
      <c r="G79" s="5">
        <f t="shared" ca="1" si="11"/>
        <v>277</v>
      </c>
      <c r="H79" s="5">
        <f t="shared" ca="1" si="17"/>
        <v>0</v>
      </c>
      <c r="I79" s="5">
        <f t="shared" ca="1" si="18"/>
        <v>277</v>
      </c>
      <c r="J79" s="5">
        <f t="shared" ca="1" si="19"/>
        <v>3</v>
      </c>
      <c r="K79" s="5">
        <f t="shared" ca="1" si="20"/>
        <v>0</v>
      </c>
      <c r="L79" s="5">
        <f t="shared" ca="1" si="12"/>
        <v>277</v>
      </c>
      <c r="M79" s="11">
        <f t="shared" ca="1" si="21"/>
        <v>1</v>
      </c>
    </row>
    <row r="80" spans="2:13" x14ac:dyDescent="0.25">
      <c r="B80" s="2">
        <v>73</v>
      </c>
      <c r="C80" s="5">
        <f t="shared" ca="1" si="13"/>
        <v>3</v>
      </c>
      <c r="D80" s="5">
        <f t="shared" ca="1" si="14"/>
        <v>277</v>
      </c>
      <c r="E80" s="5">
        <f t="shared" ca="1" si="15"/>
        <v>280</v>
      </c>
      <c r="F80" s="5">
        <f t="shared" ca="1" si="16"/>
        <v>0</v>
      </c>
      <c r="G80" s="5">
        <f t="shared" ca="1" si="11"/>
        <v>295</v>
      </c>
      <c r="H80" s="5">
        <f t="shared" ca="1" si="17"/>
        <v>0</v>
      </c>
      <c r="I80" s="5">
        <f t="shared" ca="1" si="18"/>
        <v>280</v>
      </c>
      <c r="J80" s="5">
        <f t="shared" ca="1" si="19"/>
        <v>0</v>
      </c>
      <c r="K80" s="5">
        <f t="shared" ca="1" si="20"/>
        <v>15</v>
      </c>
      <c r="L80" s="5">
        <f t="shared" ca="1" si="12"/>
        <v>295</v>
      </c>
      <c r="M80" s="11">
        <f t="shared" ca="1" si="21"/>
        <v>0.94915254237288138</v>
      </c>
    </row>
    <row r="81" spans="2:13" x14ac:dyDescent="0.25">
      <c r="B81" s="2">
        <v>74</v>
      </c>
      <c r="C81" s="5">
        <f t="shared" ca="1" si="13"/>
        <v>0</v>
      </c>
      <c r="D81" s="5">
        <f t="shared" ca="1" si="14"/>
        <v>295</v>
      </c>
      <c r="E81" s="5">
        <f t="shared" ca="1" si="15"/>
        <v>295</v>
      </c>
      <c r="F81" s="5">
        <f t="shared" ca="1" si="16"/>
        <v>15</v>
      </c>
      <c r="G81" s="5">
        <f t="shared" ca="1" si="11"/>
        <v>180</v>
      </c>
      <c r="H81" s="5">
        <f t="shared" ca="1" si="17"/>
        <v>15</v>
      </c>
      <c r="I81" s="5">
        <f t="shared" ca="1" si="18"/>
        <v>180</v>
      </c>
      <c r="J81" s="5">
        <f t="shared" ca="1" si="19"/>
        <v>100</v>
      </c>
      <c r="K81" s="5">
        <f t="shared" ca="1" si="20"/>
        <v>0</v>
      </c>
      <c r="L81" s="5">
        <f t="shared" ca="1" si="12"/>
        <v>180</v>
      </c>
      <c r="M81" s="11">
        <f t="shared" ca="1" si="21"/>
        <v>1</v>
      </c>
    </row>
    <row r="82" spans="2:13" x14ac:dyDescent="0.25">
      <c r="B82" s="2">
        <v>75</v>
      </c>
      <c r="C82" s="5">
        <f t="shared" ca="1" si="13"/>
        <v>100</v>
      </c>
      <c r="D82" s="5">
        <f t="shared" ca="1" si="14"/>
        <v>180</v>
      </c>
      <c r="E82" s="5">
        <f t="shared" ca="1" si="15"/>
        <v>280</v>
      </c>
      <c r="F82" s="5">
        <f t="shared" ca="1" si="16"/>
        <v>0</v>
      </c>
      <c r="G82" s="5">
        <f t="shared" ca="1" si="11"/>
        <v>165</v>
      </c>
      <c r="H82" s="5">
        <f t="shared" ca="1" si="17"/>
        <v>0</v>
      </c>
      <c r="I82" s="5">
        <f t="shared" ca="1" si="18"/>
        <v>165</v>
      </c>
      <c r="J82" s="5">
        <f t="shared" ca="1" si="19"/>
        <v>115</v>
      </c>
      <c r="K82" s="5">
        <f t="shared" ca="1" si="20"/>
        <v>0</v>
      </c>
      <c r="L82" s="5">
        <f t="shared" ca="1" si="12"/>
        <v>165</v>
      </c>
      <c r="M82" s="11">
        <f t="shared" ca="1" si="21"/>
        <v>1</v>
      </c>
    </row>
    <row r="83" spans="2:13" x14ac:dyDescent="0.25">
      <c r="B83" s="2">
        <v>76</v>
      </c>
      <c r="C83" s="5">
        <f t="shared" ca="1" si="13"/>
        <v>115</v>
      </c>
      <c r="D83" s="5">
        <f t="shared" ca="1" si="14"/>
        <v>165</v>
      </c>
      <c r="E83" s="5">
        <f t="shared" ca="1" si="15"/>
        <v>280</v>
      </c>
      <c r="F83" s="5">
        <f t="shared" ca="1" si="16"/>
        <v>0</v>
      </c>
      <c r="G83" s="5">
        <f t="shared" ca="1" si="11"/>
        <v>279</v>
      </c>
      <c r="H83" s="5">
        <f t="shared" ca="1" si="17"/>
        <v>0</v>
      </c>
      <c r="I83" s="5">
        <f t="shared" ca="1" si="18"/>
        <v>279</v>
      </c>
      <c r="J83" s="5">
        <f t="shared" ca="1" si="19"/>
        <v>1</v>
      </c>
      <c r="K83" s="5">
        <f t="shared" ca="1" si="20"/>
        <v>0</v>
      </c>
      <c r="L83" s="5">
        <f t="shared" ca="1" si="12"/>
        <v>279</v>
      </c>
      <c r="M83" s="11">
        <f t="shared" ca="1" si="21"/>
        <v>1</v>
      </c>
    </row>
    <row r="84" spans="2:13" x14ac:dyDescent="0.25">
      <c r="B84" s="2">
        <v>77</v>
      </c>
      <c r="C84" s="5">
        <f t="shared" ca="1" si="13"/>
        <v>1</v>
      </c>
      <c r="D84" s="5">
        <f t="shared" ca="1" si="14"/>
        <v>279</v>
      </c>
      <c r="E84" s="5">
        <f t="shared" ca="1" si="15"/>
        <v>280</v>
      </c>
      <c r="F84" s="5">
        <f t="shared" ca="1" si="16"/>
        <v>0</v>
      </c>
      <c r="G84" s="5">
        <f t="shared" ca="1" si="11"/>
        <v>239</v>
      </c>
      <c r="H84" s="5">
        <f t="shared" ca="1" si="17"/>
        <v>0</v>
      </c>
      <c r="I84" s="5">
        <f t="shared" ca="1" si="18"/>
        <v>239</v>
      </c>
      <c r="J84" s="5">
        <f t="shared" ca="1" si="19"/>
        <v>41</v>
      </c>
      <c r="K84" s="5">
        <f t="shared" ca="1" si="20"/>
        <v>0</v>
      </c>
      <c r="L84" s="5">
        <f t="shared" ca="1" si="12"/>
        <v>239</v>
      </c>
      <c r="M84" s="11">
        <f t="shared" ca="1" si="21"/>
        <v>1</v>
      </c>
    </row>
    <row r="85" spans="2:13" x14ac:dyDescent="0.25">
      <c r="B85" s="2">
        <v>78</v>
      </c>
      <c r="C85" s="5">
        <f t="shared" ca="1" si="13"/>
        <v>41</v>
      </c>
      <c r="D85" s="5">
        <f t="shared" ca="1" si="14"/>
        <v>239</v>
      </c>
      <c r="E85" s="5">
        <f t="shared" ca="1" si="15"/>
        <v>280</v>
      </c>
      <c r="F85" s="5">
        <f t="shared" ca="1" si="16"/>
        <v>0</v>
      </c>
      <c r="G85" s="5">
        <f t="shared" ca="1" si="11"/>
        <v>263</v>
      </c>
      <c r="H85" s="5">
        <f t="shared" ca="1" si="17"/>
        <v>0</v>
      </c>
      <c r="I85" s="5">
        <f t="shared" ca="1" si="18"/>
        <v>263</v>
      </c>
      <c r="J85" s="5">
        <f t="shared" ca="1" si="19"/>
        <v>17</v>
      </c>
      <c r="K85" s="5">
        <f t="shared" ca="1" si="20"/>
        <v>0</v>
      </c>
      <c r="L85" s="5">
        <f t="shared" ca="1" si="12"/>
        <v>263</v>
      </c>
      <c r="M85" s="11">
        <f t="shared" ca="1" si="21"/>
        <v>1</v>
      </c>
    </row>
    <row r="86" spans="2:13" x14ac:dyDescent="0.25">
      <c r="B86" s="2">
        <v>79</v>
      </c>
      <c r="C86" s="5">
        <f t="shared" ca="1" si="13"/>
        <v>17</v>
      </c>
      <c r="D86" s="5">
        <f t="shared" ca="1" si="14"/>
        <v>263</v>
      </c>
      <c r="E86" s="5">
        <f t="shared" ca="1" si="15"/>
        <v>280</v>
      </c>
      <c r="F86" s="5">
        <f t="shared" ca="1" si="16"/>
        <v>0</v>
      </c>
      <c r="G86" s="5">
        <f t="shared" ca="1" si="11"/>
        <v>217</v>
      </c>
      <c r="H86" s="5">
        <f t="shared" ca="1" si="17"/>
        <v>0</v>
      </c>
      <c r="I86" s="5">
        <f t="shared" ca="1" si="18"/>
        <v>217</v>
      </c>
      <c r="J86" s="5">
        <f t="shared" ca="1" si="19"/>
        <v>63</v>
      </c>
      <c r="K86" s="5">
        <f t="shared" ca="1" si="20"/>
        <v>0</v>
      </c>
      <c r="L86" s="5">
        <f t="shared" ca="1" si="12"/>
        <v>217</v>
      </c>
      <c r="M86" s="11">
        <f t="shared" ca="1" si="21"/>
        <v>1</v>
      </c>
    </row>
    <row r="87" spans="2:13" x14ac:dyDescent="0.25">
      <c r="B87" s="2">
        <v>80</v>
      </c>
      <c r="C87" s="5">
        <f t="shared" ca="1" si="13"/>
        <v>63</v>
      </c>
      <c r="D87" s="5">
        <f t="shared" ca="1" si="14"/>
        <v>217</v>
      </c>
      <c r="E87" s="5">
        <f t="shared" ca="1" si="15"/>
        <v>280</v>
      </c>
      <c r="F87" s="5">
        <f t="shared" ca="1" si="16"/>
        <v>0</v>
      </c>
      <c r="G87" s="5">
        <f t="shared" ca="1" si="11"/>
        <v>120</v>
      </c>
      <c r="H87" s="5">
        <f t="shared" ca="1" si="17"/>
        <v>0</v>
      </c>
      <c r="I87" s="5">
        <f t="shared" ca="1" si="18"/>
        <v>120</v>
      </c>
      <c r="J87" s="5">
        <f t="shared" ca="1" si="19"/>
        <v>160</v>
      </c>
      <c r="K87" s="5">
        <f t="shared" ca="1" si="20"/>
        <v>0</v>
      </c>
      <c r="L87" s="5">
        <f t="shared" ca="1" si="12"/>
        <v>120</v>
      </c>
      <c r="M87" s="11">
        <f t="shared" ca="1" si="21"/>
        <v>1</v>
      </c>
    </row>
    <row r="88" spans="2:13" x14ac:dyDescent="0.25">
      <c r="B88" s="2">
        <v>81</v>
      </c>
      <c r="C88" s="5">
        <f t="shared" ca="1" si="13"/>
        <v>160</v>
      </c>
      <c r="D88" s="5">
        <f t="shared" ca="1" si="14"/>
        <v>120</v>
      </c>
      <c r="E88" s="5">
        <f t="shared" ca="1" si="15"/>
        <v>280</v>
      </c>
      <c r="F88" s="5">
        <f t="shared" ca="1" si="16"/>
        <v>0</v>
      </c>
      <c r="G88" s="5">
        <f t="shared" ca="1" si="11"/>
        <v>201</v>
      </c>
      <c r="H88" s="5">
        <f t="shared" ca="1" si="17"/>
        <v>0</v>
      </c>
      <c r="I88" s="5">
        <f t="shared" ca="1" si="18"/>
        <v>201</v>
      </c>
      <c r="J88" s="5">
        <f t="shared" ca="1" si="19"/>
        <v>79</v>
      </c>
      <c r="K88" s="5">
        <f t="shared" ca="1" si="20"/>
        <v>0</v>
      </c>
      <c r="L88" s="5">
        <f t="shared" ca="1" si="12"/>
        <v>201</v>
      </c>
      <c r="M88" s="11">
        <f t="shared" ca="1" si="21"/>
        <v>1</v>
      </c>
    </row>
    <row r="89" spans="2:13" x14ac:dyDescent="0.25">
      <c r="B89" s="2">
        <v>82</v>
      </c>
      <c r="C89" s="5">
        <f t="shared" ca="1" si="13"/>
        <v>79</v>
      </c>
      <c r="D89" s="5">
        <f t="shared" ca="1" si="14"/>
        <v>201</v>
      </c>
      <c r="E89" s="5">
        <f t="shared" ca="1" si="15"/>
        <v>280</v>
      </c>
      <c r="F89" s="5">
        <f t="shared" ca="1" si="16"/>
        <v>0</v>
      </c>
      <c r="G89" s="5">
        <f t="shared" ca="1" si="11"/>
        <v>115</v>
      </c>
      <c r="H89" s="5">
        <f t="shared" ca="1" si="17"/>
        <v>0</v>
      </c>
      <c r="I89" s="5">
        <f t="shared" ca="1" si="18"/>
        <v>115</v>
      </c>
      <c r="J89" s="5">
        <f t="shared" ca="1" si="19"/>
        <v>165</v>
      </c>
      <c r="K89" s="5">
        <f t="shared" ca="1" si="20"/>
        <v>0</v>
      </c>
      <c r="L89" s="5">
        <f t="shared" ca="1" si="12"/>
        <v>115</v>
      </c>
      <c r="M89" s="11">
        <f t="shared" ca="1" si="21"/>
        <v>1</v>
      </c>
    </row>
    <row r="90" spans="2:13" x14ac:dyDescent="0.25">
      <c r="B90" s="2">
        <v>83</v>
      </c>
      <c r="C90" s="5">
        <f t="shared" ca="1" si="13"/>
        <v>165</v>
      </c>
      <c r="D90" s="5">
        <f t="shared" ca="1" si="14"/>
        <v>115</v>
      </c>
      <c r="E90" s="5">
        <f t="shared" ca="1" si="15"/>
        <v>280</v>
      </c>
      <c r="F90" s="5">
        <f t="shared" ca="1" si="16"/>
        <v>0</v>
      </c>
      <c r="G90" s="5">
        <f t="shared" ca="1" si="11"/>
        <v>116</v>
      </c>
      <c r="H90" s="5">
        <f t="shared" ca="1" si="17"/>
        <v>0</v>
      </c>
      <c r="I90" s="5">
        <f t="shared" ca="1" si="18"/>
        <v>116</v>
      </c>
      <c r="J90" s="5">
        <f t="shared" ca="1" si="19"/>
        <v>164</v>
      </c>
      <c r="K90" s="5">
        <f t="shared" ca="1" si="20"/>
        <v>0</v>
      </c>
      <c r="L90" s="5">
        <f t="shared" ca="1" si="12"/>
        <v>116</v>
      </c>
      <c r="M90" s="11">
        <f t="shared" ca="1" si="21"/>
        <v>1</v>
      </c>
    </row>
    <row r="91" spans="2:13" x14ac:dyDescent="0.25">
      <c r="B91" s="2">
        <v>84</v>
      </c>
      <c r="C91" s="5">
        <f t="shared" ca="1" si="13"/>
        <v>164</v>
      </c>
      <c r="D91" s="5">
        <f t="shared" ca="1" si="14"/>
        <v>116</v>
      </c>
      <c r="E91" s="5">
        <f t="shared" ca="1" si="15"/>
        <v>280</v>
      </c>
      <c r="F91" s="5">
        <f t="shared" ca="1" si="16"/>
        <v>0</v>
      </c>
      <c r="G91" s="5">
        <f t="shared" ca="1" si="11"/>
        <v>108</v>
      </c>
      <c r="H91" s="5">
        <f t="shared" ca="1" si="17"/>
        <v>0</v>
      </c>
      <c r="I91" s="5">
        <f t="shared" ca="1" si="18"/>
        <v>108</v>
      </c>
      <c r="J91" s="5">
        <f t="shared" ca="1" si="19"/>
        <v>172</v>
      </c>
      <c r="K91" s="5">
        <f t="shared" ca="1" si="20"/>
        <v>0</v>
      </c>
      <c r="L91" s="5">
        <f t="shared" ca="1" si="12"/>
        <v>108</v>
      </c>
      <c r="M91" s="11">
        <f t="shared" ca="1" si="21"/>
        <v>1</v>
      </c>
    </row>
    <row r="92" spans="2:13" x14ac:dyDescent="0.25">
      <c r="B92" s="2">
        <v>85</v>
      </c>
      <c r="C92" s="5">
        <f t="shared" ca="1" si="13"/>
        <v>172</v>
      </c>
      <c r="D92" s="5">
        <f t="shared" ca="1" si="14"/>
        <v>108</v>
      </c>
      <c r="E92" s="5">
        <f t="shared" ca="1" si="15"/>
        <v>280</v>
      </c>
      <c r="F92" s="5">
        <f t="shared" ca="1" si="16"/>
        <v>0</v>
      </c>
      <c r="G92" s="5">
        <f t="shared" ca="1" si="11"/>
        <v>179</v>
      </c>
      <c r="H92" s="5">
        <f t="shared" ca="1" si="17"/>
        <v>0</v>
      </c>
      <c r="I92" s="5">
        <f t="shared" ca="1" si="18"/>
        <v>179</v>
      </c>
      <c r="J92" s="5">
        <f t="shared" ca="1" si="19"/>
        <v>101</v>
      </c>
      <c r="K92" s="5">
        <f t="shared" ca="1" si="20"/>
        <v>0</v>
      </c>
      <c r="L92" s="5">
        <f t="shared" ca="1" si="12"/>
        <v>179</v>
      </c>
      <c r="M92" s="11">
        <f t="shared" ca="1" si="21"/>
        <v>1</v>
      </c>
    </row>
    <row r="93" spans="2:13" x14ac:dyDescent="0.25">
      <c r="B93" s="2">
        <v>86</v>
      </c>
      <c r="C93" s="5">
        <f t="shared" ca="1" si="13"/>
        <v>101</v>
      </c>
      <c r="D93" s="5">
        <f t="shared" ca="1" si="14"/>
        <v>179</v>
      </c>
      <c r="E93" s="5">
        <f t="shared" ca="1" si="15"/>
        <v>280</v>
      </c>
      <c r="F93" s="5">
        <f t="shared" ca="1" si="16"/>
        <v>0</v>
      </c>
      <c r="G93" s="5">
        <f t="shared" ca="1" si="11"/>
        <v>193</v>
      </c>
      <c r="H93" s="5">
        <f t="shared" ca="1" si="17"/>
        <v>0</v>
      </c>
      <c r="I93" s="5">
        <f t="shared" ca="1" si="18"/>
        <v>193</v>
      </c>
      <c r="J93" s="5">
        <f t="shared" ca="1" si="19"/>
        <v>87</v>
      </c>
      <c r="K93" s="5">
        <f t="shared" ca="1" si="20"/>
        <v>0</v>
      </c>
      <c r="L93" s="5">
        <f t="shared" ca="1" si="12"/>
        <v>193</v>
      </c>
      <c r="M93" s="11">
        <f t="shared" ca="1" si="21"/>
        <v>1</v>
      </c>
    </row>
    <row r="94" spans="2:13" x14ac:dyDescent="0.25">
      <c r="B94" s="2">
        <v>87</v>
      </c>
      <c r="C94" s="5">
        <f t="shared" ca="1" si="13"/>
        <v>87</v>
      </c>
      <c r="D94" s="5">
        <f t="shared" ca="1" si="14"/>
        <v>193</v>
      </c>
      <c r="E94" s="5">
        <f t="shared" ca="1" si="15"/>
        <v>280</v>
      </c>
      <c r="F94" s="5">
        <f t="shared" ca="1" si="16"/>
        <v>0</v>
      </c>
      <c r="G94" s="5">
        <f t="shared" ca="1" si="11"/>
        <v>290</v>
      </c>
      <c r="H94" s="5">
        <f t="shared" ca="1" si="17"/>
        <v>0</v>
      </c>
      <c r="I94" s="5">
        <f t="shared" ca="1" si="18"/>
        <v>280</v>
      </c>
      <c r="J94" s="5">
        <f t="shared" ca="1" si="19"/>
        <v>0</v>
      </c>
      <c r="K94" s="5">
        <f t="shared" ca="1" si="20"/>
        <v>10</v>
      </c>
      <c r="L94" s="5">
        <f t="shared" ca="1" si="12"/>
        <v>290</v>
      </c>
      <c r="M94" s="11">
        <f t="shared" ca="1" si="21"/>
        <v>0.96551724137931039</v>
      </c>
    </row>
    <row r="95" spans="2:13" x14ac:dyDescent="0.25">
      <c r="B95" s="2">
        <v>88</v>
      </c>
      <c r="C95" s="5">
        <f t="shared" ca="1" si="13"/>
        <v>0</v>
      </c>
      <c r="D95" s="5">
        <f t="shared" ca="1" si="14"/>
        <v>290</v>
      </c>
      <c r="E95" s="5">
        <f t="shared" ca="1" si="15"/>
        <v>290</v>
      </c>
      <c r="F95" s="5">
        <f t="shared" ca="1" si="16"/>
        <v>10</v>
      </c>
      <c r="G95" s="5">
        <f t="shared" ca="1" si="11"/>
        <v>153</v>
      </c>
      <c r="H95" s="5">
        <f t="shared" ca="1" si="17"/>
        <v>10</v>
      </c>
      <c r="I95" s="5">
        <f t="shared" ca="1" si="18"/>
        <v>153</v>
      </c>
      <c r="J95" s="5">
        <f t="shared" ca="1" si="19"/>
        <v>127</v>
      </c>
      <c r="K95" s="5">
        <f t="shared" ca="1" si="20"/>
        <v>0</v>
      </c>
      <c r="L95" s="5">
        <f t="shared" ca="1" si="12"/>
        <v>153</v>
      </c>
      <c r="M95" s="11">
        <f t="shared" ca="1" si="21"/>
        <v>1</v>
      </c>
    </row>
    <row r="96" spans="2:13" x14ac:dyDescent="0.25">
      <c r="B96" s="2">
        <v>89</v>
      </c>
      <c r="C96" s="5">
        <f t="shared" ca="1" si="13"/>
        <v>127</v>
      </c>
      <c r="D96" s="5">
        <f t="shared" ca="1" si="14"/>
        <v>153</v>
      </c>
      <c r="E96" s="5">
        <f t="shared" ca="1" si="15"/>
        <v>280</v>
      </c>
      <c r="F96" s="5">
        <f t="shared" ca="1" si="16"/>
        <v>0</v>
      </c>
      <c r="G96" s="5">
        <f t="shared" ca="1" si="11"/>
        <v>249</v>
      </c>
      <c r="H96" s="5">
        <f t="shared" ca="1" si="17"/>
        <v>0</v>
      </c>
      <c r="I96" s="5">
        <f t="shared" ca="1" si="18"/>
        <v>249</v>
      </c>
      <c r="J96" s="5">
        <f t="shared" ca="1" si="19"/>
        <v>31</v>
      </c>
      <c r="K96" s="5">
        <f t="shared" ca="1" si="20"/>
        <v>0</v>
      </c>
      <c r="L96" s="5">
        <f t="shared" ca="1" si="12"/>
        <v>249</v>
      </c>
      <c r="M96" s="11">
        <f t="shared" ca="1" si="21"/>
        <v>1</v>
      </c>
    </row>
    <row r="97" spans="2:13" x14ac:dyDescent="0.25">
      <c r="B97" s="2">
        <v>90</v>
      </c>
      <c r="C97" s="5">
        <f t="shared" ca="1" si="13"/>
        <v>31</v>
      </c>
      <c r="D97" s="5">
        <f t="shared" ca="1" si="14"/>
        <v>249</v>
      </c>
      <c r="E97" s="5">
        <f t="shared" ca="1" si="15"/>
        <v>280</v>
      </c>
      <c r="F97" s="5">
        <f t="shared" ca="1" si="16"/>
        <v>0</v>
      </c>
      <c r="G97" s="5">
        <f t="shared" ca="1" si="11"/>
        <v>147</v>
      </c>
      <c r="H97" s="5">
        <f t="shared" ca="1" si="17"/>
        <v>0</v>
      </c>
      <c r="I97" s="5">
        <f t="shared" ca="1" si="18"/>
        <v>147</v>
      </c>
      <c r="J97" s="5">
        <f t="shared" ca="1" si="19"/>
        <v>133</v>
      </c>
      <c r="K97" s="5">
        <f t="shared" ca="1" si="20"/>
        <v>0</v>
      </c>
      <c r="L97" s="5">
        <f t="shared" ca="1" si="12"/>
        <v>147</v>
      </c>
      <c r="M97" s="11">
        <f t="shared" ca="1" si="21"/>
        <v>1</v>
      </c>
    </row>
    <row r="98" spans="2:13" x14ac:dyDescent="0.25">
      <c r="B98" s="2">
        <v>91</v>
      </c>
      <c r="C98" s="5">
        <f t="shared" ca="1" si="13"/>
        <v>133</v>
      </c>
      <c r="D98" s="5">
        <f t="shared" ca="1" si="14"/>
        <v>147</v>
      </c>
      <c r="E98" s="5">
        <f t="shared" ca="1" si="15"/>
        <v>280</v>
      </c>
      <c r="F98" s="5">
        <f t="shared" ca="1" si="16"/>
        <v>0</v>
      </c>
      <c r="G98" s="5">
        <f t="shared" ca="1" si="11"/>
        <v>217</v>
      </c>
      <c r="H98" s="5">
        <f t="shared" ca="1" si="17"/>
        <v>0</v>
      </c>
      <c r="I98" s="5">
        <f t="shared" ca="1" si="18"/>
        <v>217</v>
      </c>
      <c r="J98" s="5">
        <f t="shared" ca="1" si="19"/>
        <v>63</v>
      </c>
      <c r="K98" s="5">
        <f t="shared" ca="1" si="20"/>
        <v>0</v>
      </c>
      <c r="L98" s="5">
        <f t="shared" ca="1" si="12"/>
        <v>217</v>
      </c>
      <c r="M98" s="11">
        <f t="shared" ca="1" si="21"/>
        <v>1</v>
      </c>
    </row>
    <row r="99" spans="2:13" x14ac:dyDescent="0.25">
      <c r="B99" s="2">
        <v>92</v>
      </c>
      <c r="C99" s="5">
        <f t="shared" ca="1" si="13"/>
        <v>63</v>
      </c>
      <c r="D99" s="5">
        <f t="shared" ca="1" si="14"/>
        <v>217</v>
      </c>
      <c r="E99" s="5">
        <f t="shared" ca="1" si="15"/>
        <v>280</v>
      </c>
      <c r="F99" s="5">
        <f t="shared" ca="1" si="16"/>
        <v>0</v>
      </c>
      <c r="G99" s="5">
        <f t="shared" ca="1" si="11"/>
        <v>177</v>
      </c>
      <c r="H99" s="5">
        <f t="shared" ca="1" si="17"/>
        <v>0</v>
      </c>
      <c r="I99" s="5">
        <f t="shared" ca="1" si="18"/>
        <v>177</v>
      </c>
      <c r="J99" s="5">
        <f t="shared" ca="1" si="19"/>
        <v>103</v>
      </c>
      <c r="K99" s="5">
        <f t="shared" ca="1" si="20"/>
        <v>0</v>
      </c>
      <c r="L99" s="5">
        <f t="shared" ca="1" si="12"/>
        <v>177</v>
      </c>
      <c r="M99" s="11">
        <f t="shared" ca="1" si="21"/>
        <v>1</v>
      </c>
    </row>
    <row r="100" spans="2:13" x14ac:dyDescent="0.25">
      <c r="B100" s="2">
        <v>93</v>
      </c>
      <c r="C100" s="5">
        <f t="shared" ca="1" si="13"/>
        <v>103</v>
      </c>
      <c r="D100" s="5">
        <f t="shared" ca="1" si="14"/>
        <v>177</v>
      </c>
      <c r="E100" s="5">
        <f t="shared" ca="1" si="15"/>
        <v>280</v>
      </c>
      <c r="F100" s="5">
        <f t="shared" ca="1" si="16"/>
        <v>0</v>
      </c>
      <c r="G100" s="5">
        <f t="shared" ca="1" si="11"/>
        <v>192</v>
      </c>
      <c r="H100" s="5">
        <f t="shared" ca="1" si="17"/>
        <v>0</v>
      </c>
      <c r="I100" s="5">
        <f t="shared" ca="1" si="18"/>
        <v>192</v>
      </c>
      <c r="J100" s="5">
        <f t="shared" ca="1" si="19"/>
        <v>88</v>
      </c>
      <c r="K100" s="5">
        <f t="shared" ca="1" si="20"/>
        <v>0</v>
      </c>
      <c r="L100" s="5">
        <f t="shared" ca="1" si="12"/>
        <v>192</v>
      </c>
      <c r="M100" s="11">
        <f t="shared" ca="1" si="21"/>
        <v>1</v>
      </c>
    </row>
    <row r="101" spans="2:13" x14ac:dyDescent="0.25">
      <c r="B101" s="2">
        <v>94</v>
      </c>
      <c r="C101" s="5">
        <f t="shared" ca="1" si="13"/>
        <v>88</v>
      </c>
      <c r="D101" s="5">
        <f t="shared" ca="1" si="14"/>
        <v>192</v>
      </c>
      <c r="E101" s="5">
        <f t="shared" ca="1" si="15"/>
        <v>280</v>
      </c>
      <c r="F101" s="5">
        <f t="shared" ca="1" si="16"/>
        <v>0</v>
      </c>
      <c r="G101" s="5">
        <f t="shared" ca="1" si="11"/>
        <v>239</v>
      </c>
      <c r="H101" s="5">
        <f t="shared" ca="1" si="17"/>
        <v>0</v>
      </c>
      <c r="I101" s="5">
        <f t="shared" ca="1" si="18"/>
        <v>239</v>
      </c>
      <c r="J101" s="5">
        <f t="shared" ca="1" si="19"/>
        <v>41</v>
      </c>
      <c r="K101" s="5">
        <f t="shared" ca="1" si="20"/>
        <v>0</v>
      </c>
      <c r="L101" s="5">
        <f t="shared" ca="1" si="12"/>
        <v>239</v>
      </c>
      <c r="M101" s="11">
        <f t="shared" ca="1" si="21"/>
        <v>1</v>
      </c>
    </row>
    <row r="102" spans="2:13" x14ac:dyDescent="0.25">
      <c r="B102" s="2">
        <v>95</v>
      </c>
      <c r="C102" s="5">
        <f t="shared" ca="1" si="13"/>
        <v>41</v>
      </c>
      <c r="D102" s="5">
        <f t="shared" ca="1" si="14"/>
        <v>239</v>
      </c>
      <c r="E102" s="5">
        <f t="shared" ca="1" si="15"/>
        <v>280</v>
      </c>
      <c r="F102" s="5">
        <f t="shared" ca="1" si="16"/>
        <v>0</v>
      </c>
      <c r="G102" s="5">
        <f t="shared" ca="1" si="11"/>
        <v>120</v>
      </c>
      <c r="H102" s="5">
        <f t="shared" ca="1" si="17"/>
        <v>0</v>
      </c>
      <c r="I102" s="5">
        <f t="shared" ca="1" si="18"/>
        <v>120</v>
      </c>
      <c r="J102" s="5">
        <f t="shared" ca="1" si="19"/>
        <v>160</v>
      </c>
      <c r="K102" s="5">
        <f t="shared" ca="1" si="20"/>
        <v>0</v>
      </c>
      <c r="L102" s="5">
        <f t="shared" ca="1" si="12"/>
        <v>120</v>
      </c>
      <c r="M102" s="11">
        <f t="shared" ca="1" si="21"/>
        <v>1</v>
      </c>
    </row>
    <row r="103" spans="2:13" x14ac:dyDescent="0.25">
      <c r="B103" s="2">
        <v>96</v>
      </c>
      <c r="C103" s="5">
        <f t="shared" ca="1" si="13"/>
        <v>160</v>
      </c>
      <c r="D103" s="5">
        <f t="shared" ca="1" si="14"/>
        <v>120</v>
      </c>
      <c r="E103" s="5">
        <f t="shared" ca="1" si="15"/>
        <v>280</v>
      </c>
      <c r="F103" s="5">
        <f t="shared" ca="1" si="16"/>
        <v>0</v>
      </c>
      <c r="G103" s="5">
        <f t="shared" ca="1" si="11"/>
        <v>129</v>
      </c>
      <c r="H103" s="5">
        <f t="shared" ca="1" si="17"/>
        <v>0</v>
      </c>
      <c r="I103" s="5">
        <f t="shared" ca="1" si="18"/>
        <v>129</v>
      </c>
      <c r="J103" s="5">
        <f t="shared" ca="1" si="19"/>
        <v>151</v>
      </c>
      <c r="K103" s="5">
        <f t="shared" ca="1" si="20"/>
        <v>0</v>
      </c>
      <c r="L103" s="5">
        <f t="shared" ca="1" si="12"/>
        <v>129</v>
      </c>
      <c r="M103" s="11">
        <f t="shared" ca="1" si="21"/>
        <v>1</v>
      </c>
    </row>
    <row r="104" spans="2:13" x14ac:dyDescent="0.25">
      <c r="B104" s="2">
        <v>97</v>
      </c>
      <c r="C104" s="5">
        <f t="shared" ca="1" si="13"/>
        <v>151</v>
      </c>
      <c r="D104" s="5">
        <f t="shared" ca="1" si="14"/>
        <v>129</v>
      </c>
      <c r="E104" s="5">
        <f t="shared" ca="1" si="15"/>
        <v>280</v>
      </c>
      <c r="F104" s="5">
        <f t="shared" ca="1" si="16"/>
        <v>0</v>
      </c>
      <c r="G104" s="5">
        <f t="shared" ca="1" si="11"/>
        <v>152</v>
      </c>
      <c r="H104" s="5">
        <f t="shared" ca="1" si="17"/>
        <v>0</v>
      </c>
      <c r="I104" s="5">
        <f t="shared" ca="1" si="18"/>
        <v>152</v>
      </c>
      <c r="J104" s="5">
        <f t="shared" ca="1" si="19"/>
        <v>128</v>
      </c>
      <c r="K104" s="5">
        <f t="shared" ca="1" si="20"/>
        <v>0</v>
      </c>
      <c r="L104" s="5">
        <f t="shared" ca="1" si="12"/>
        <v>152</v>
      </c>
      <c r="M104" s="11">
        <f t="shared" ca="1" si="21"/>
        <v>1</v>
      </c>
    </row>
    <row r="105" spans="2:13" x14ac:dyDescent="0.25">
      <c r="B105" s="2">
        <v>98</v>
      </c>
      <c r="C105" s="5">
        <f t="shared" ca="1" si="13"/>
        <v>128</v>
      </c>
      <c r="D105" s="5">
        <f t="shared" ca="1" si="14"/>
        <v>152</v>
      </c>
      <c r="E105" s="5">
        <f t="shared" ca="1" si="15"/>
        <v>280</v>
      </c>
      <c r="F105" s="5">
        <f t="shared" ca="1" si="16"/>
        <v>0</v>
      </c>
      <c r="G105" s="5">
        <f t="shared" ca="1" si="11"/>
        <v>146</v>
      </c>
      <c r="H105" s="5">
        <f t="shared" ca="1" si="17"/>
        <v>0</v>
      </c>
      <c r="I105" s="5">
        <f t="shared" ca="1" si="18"/>
        <v>146</v>
      </c>
      <c r="J105" s="5">
        <f t="shared" ca="1" si="19"/>
        <v>134</v>
      </c>
      <c r="K105" s="5">
        <f t="shared" ca="1" si="20"/>
        <v>0</v>
      </c>
      <c r="L105" s="5">
        <f t="shared" ca="1" si="12"/>
        <v>146</v>
      </c>
      <c r="M105" s="11">
        <f t="shared" ca="1" si="21"/>
        <v>1</v>
      </c>
    </row>
    <row r="106" spans="2:13" x14ac:dyDescent="0.25">
      <c r="B106" s="2">
        <v>99</v>
      </c>
      <c r="C106" s="5">
        <f t="shared" ca="1" si="13"/>
        <v>134</v>
      </c>
      <c r="D106" s="5">
        <f t="shared" ca="1" si="14"/>
        <v>146</v>
      </c>
      <c r="E106" s="5">
        <f t="shared" ca="1" si="15"/>
        <v>280</v>
      </c>
      <c r="F106" s="5">
        <f t="shared" ca="1" si="16"/>
        <v>0</v>
      </c>
      <c r="G106" s="5">
        <f t="shared" ca="1" si="11"/>
        <v>199</v>
      </c>
      <c r="H106" s="5">
        <f t="shared" ca="1" si="17"/>
        <v>0</v>
      </c>
      <c r="I106" s="5">
        <f t="shared" ca="1" si="18"/>
        <v>199</v>
      </c>
      <c r="J106" s="5">
        <f t="shared" ca="1" si="19"/>
        <v>81</v>
      </c>
      <c r="K106" s="5">
        <f t="shared" ca="1" si="20"/>
        <v>0</v>
      </c>
      <c r="L106" s="5">
        <f t="shared" ca="1" si="12"/>
        <v>199</v>
      </c>
      <c r="M106" s="11">
        <f t="shared" ca="1" si="21"/>
        <v>1</v>
      </c>
    </row>
    <row r="107" spans="2:13" x14ac:dyDescent="0.25">
      <c r="B107" s="2">
        <v>100</v>
      </c>
      <c r="C107" s="5">
        <f t="shared" ca="1" si="13"/>
        <v>81</v>
      </c>
      <c r="D107" s="5">
        <f t="shared" ca="1" si="14"/>
        <v>199</v>
      </c>
      <c r="E107" s="5">
        <f t="shared" ca="1" si="15"/>
        <v>280</v>
      </c>
      <c r="F107" s="5">
        <f t="shared" ca="1" si="16"/>
        <v>0</v>
      </c>
      <c r="G107" s="5">
        <f t="shared" ca="1" si="11"/>
        <v>125</v>
      </c>
      <c r="H107" s="5">
        <f t="shared" ca="1" si="17"/>
        <v>0</v>
      </c>
      <c r="I107" s="5">
        <f t="shared" ca="1" si="18"/>
        <v>125</v>
      </c>
      <c r="J107" s="5">
        <f t="shared" ca="1" si="19"/>
        <v>155</v>
      </c>
      <c r="K107" s="5">
        <f t="shared" ca="1" si="20"/>
        <v>0</v>
      </c>
      <c r="L107" s="5">
        <f t="shared" ca="1" si="12"/>
        <v>125</v>
      </c>
      <c r="M107" s="11">
        <f t="shared" ca="1" si="21"/>
        <v>1</v>
      </c>
    </row>
    <row r="108" spans="2:13" x14ac:dyDescent="0.25">
      <c r="B108" s="2">
        <v>101</v>
      </c>
      <c r="C108" s="5">
        <f t="shared" ca="1" si="13"/>
        <v>155</v>
      </c>
      <c r="D108" s="5">
        <f t="shared" ca="1" si="14"/>
        <v>125</v>
      </c>
      <c r="E108" s="5">
        <f t="shared" ca="1" si="15"/>
        <v>280</v>
      </c>
      <c r="F108" s="5">
        <f t="shared" ca="1" si="16"/>
        <v>0</v>
      </c>
      <c r="G108" s="5">
        <f t="shared" ca="1" si="11"/>
        <v>184</v>
      </c>
      <c r="H108" s="5">
        <f t="shared" ca="1" si="17"/>
        <v>0</v>
      </c>
      <c r="I108" s="5">
        <f t="shared" ca="1" si="18"/>
        <v>184</v>
      </c>
      <c r="J108" s="5">
        <f t="shared" ca="1" si="19"/>
        <v>96</v>
      </c>
      <c r="K108" s="5">
        <f t="shared" ca="1" si="20"/>
        <v>0</v>
      </c>
      <c r="L108" s="5">
        <f t="shared" ca="1" si="12"/>
        <v>184</v>
      </c>
      <c r="M108" s="11">
        <f t="shared" ca="1" si="21"/>
        <v>1</v>
      </c>
    </row>
    <row r="109" spans="2:13" x14ac:dyDescent="0.25">
      <c r="B109" s="2">
        <v>102</v>
      </c>
      <c r="C109" s="5">
        <f t="shared" ca="1" si="13"/>
        <v>96</v>
      </c>
      <c r="D109" s="5">
        <f t="shared" ca="1" si="14"/>
        <v>184</v>
      </c>
      <c r="E109" s="5">
        <f t="shared" ca="1" si="15"/>
        <v>280</v>
      </c>
      <c r="F109" s="5">
        <f t="shared" ca="1" si="16"/>
        <v>0</v>
      </c>
      <c r="G109" s="5">
        <f t="shared" ca="1" si="11"/>
        <v>267</v>
      </c>
      <c r="H109" s="5">
        <f t="shared" ca="1" si="17"/>
        <v>0</v>
      </c>
      <c r="I109" s="5">
        <f t="shared" ca="1" si="18"/>
        <v>267</v>
      </c>
      <c r="J109" s="5">
        <f t="shared" ca="1" si="19"/>
        <v>13</v>
      </c>
      <c r="K109" s="5">
        <f t="shared" ca="1" si="20"/>
        <v>0</v>
      </c>
      <c r="L109" s="5">
        <f t="shared" ca="1" si="12"/>
        <v>267</v>
      </c>
      <c r="M109" s="11">
        <f t="shared" ca="1" si="21"/>
        <v>1</v>
      </c>
    </row>
    <row r="110" spans="2:13" x14ac:dyDescent="0.25">
      <c r="B110" s="2">
        <v>103</v>
      </c>
      <c r="C110" s="5">
        <f t="shared" ca="1" si="13"/>
        <v>13</v>
      </c>
      <c r="D110" s="5">
        <f t="shared" ca="1" si="14"/>
        <v>267</v>
      </c>
      <c r="E110" s="5">
        <f t="shared" ca="1" si="15"/>
        <v>280</v>
      </c>
      <c r="F110" s="5">
        <f t="shared" ca="1" si="16"/>
        <v>0</v>
      </c>
      <c r="G110" s="5">
        <f t="shared" ca="1" si="11"/>
        <v>215</v>
      </c>
      <c r="H110" s="5">
        <f t="shared" ca="1" si="17"/>
        <v>0</v>
      </c>
      <c r="I110" s="5">
        <f t="shared" ca="1" si="18"/>
        <v>215</v>
      </c>
      <c r="J110" s="5">
        <f t="shared" ca="1" si="19"/>
        <v>65</v>
      </c>
      <c r="K110" s="5">
        <f t="shared" ca="1" si="20"/>
        <v>0</v>
      </c>
      <c r="L110" s="5">
        <f t="shared" ca="1" si="12"/>
        <v>215</v>
      </c>
      <c r="M110" s="11">
        <f t="shared" ca="1" si="21"/>
        <v>1</v>
      </c>
    </row>
    <row r="111" spans="2:13" x14ac:dyDescent="0.25">
      <c r="B111" s="2">
        <v>104</v>
      </c>
      <c r="C111" s="5">
        <f t="shared" ca="1" si="13"/>
        <v>65</v>
      </c>
      <c r="D111" s="5">
        <f t="shared" ca="1" si="14"/>
        <v>215</v>
      </c>
      <c r="E111" s="5">
        <f t="shared" ca="1" si="15"/>
        <v>280</v>
      </c>
      <c r="F111" s="5">
        <f t="shared" ca="1" si="16"/>
        <v>0</v>
      </c>
      <c r="G111" s="5">
        <f t="shared" ca="1" si="11"/>
        <v>165</v>
      </c>
      <c r="H111" s="5">
        <f t="shared" ca="1" si="17"/>
        <v>0</v>
      </c>
      <c r="I111" s="5">
        <f t="shared" ca="1" si="18"/>
        <v>165</v>
      </c>
      <c r="J111" s="5">
        <f t="shared" ca="1" si="19"/>
        <v>115</v>
      </c>
      <c r="K111" s="5">
        <f t="shared" ca="1" si="20"/>
        <v>0</v>
      </c>
      <c r="L111" s="5">
        <f t="shared" ca="1" si="12"/>
        <v>165</v>
      </c>
      <c r="M111" s="11">
        <f t="shared" ca="1" si="21"/>
        <v>1</v>
      </c>
    </row>
    <row r="112" spans="2:13" x14ac:dyDescent="0.25">
      <c r="B112" s="2">
        <v>105</v>
      </c>
      <c r="C112" s="5">
        <f t="shared" ca="1" si="13"/>
        <v>115</v>
      </c>
      <c r="D112" s="5">
        <f t="shared" ca="1" si="14"/>
        <v>165</v>
      </c>
      <c r="E112" s="5">
        <f t="shared" ca="1" si="15"/>
        <v>280</v>
      </c>
      <c r="F112" s="5">
        <f t="shared" ca="1" si="16"/>
        <v>0</v>
      </c>
      <c r="G112" s="5">
        <f t="shared" ca="1" si="11"/>
        <v>165</v>
      </c>
      <c r="H112" s="5">
        <f t="shared" ca="1" si="17"/>
        <v>0</v>
      </c>
      <c r="I112" s="5">
        <f t="shared" ca="1" si="18"/>
        <v>165</v>
      </c>
      <c r="J112" s="5">
        <f t="shared" ca="1" si="19"/>
        <v>115</v>
      </c>
      <c r="K112" s="5">
        <f t="shared" ca="1" si="20"/>
        <v>0</v>
      </c>
      <c r="L112" s="5">
        <f t="shared" ca="1" si="12"/>
        <v>165</v>
      </c>
      <c r="M112" s="11">
        <f t="shared" ca="1" si="21"/>
        <v>1</v>
      </c>
    </row>
    <row r="113" spans="2:13" x14ac:dyDescent="0.25">
      <c r="B113" s="2">
        <v>106</v>
      </c>
      <c r="C113" s="5">
        <f t="shared" ca="1" si="13"/>
        <v>115</v>
      </c>
      <c r="D113" s="5">
        <f t="shared" ca="1" si="14"/>
        <v>165</v>
      </c>
      <c r="E113" s="5">
        <f t="shared" ca="1" si="15"/>
        <v>280</v>
      </c>
      <c r="F113" s="5">
        <f t="shared" ca="1" si="16"/>
        <v>0</v>
      </c>
      <c r="G113" s="5">
        <f t="shared" ca="1" si="11"/>
        <v>112</v>
      </c>
      <c r="H113" s="5">
        <f t="shared" ca="1" si="17"/>
        <v>0</v>
      </c>
      <c r="I113" s="5">
        <f t="shared" ca="1" si="18"/>
        <v>112</v>
      </c>
      <c r="J113" s="5">
        <f t="shared" ca="1" si="19"/>
        <v>168</v>
      </c>
      <c r="K113" s="5">
        <f t="shared" ca="1" si="20"/>
        <v>0</v>
      </c>
      <c r="L113" s="5">
        <f t="shared" ca="1" si="12"/>
        <v>112</v>
      </c>
      <c r="M113" s="11">
        <f t="shared" ca="1" si="21"/>
        <v>1</v>
      </c>
    </row>
    <row r="114" spans="2:13" x14ac:dyDescent="0.25">
      <c r="B114" s="2">
        <v>107</v>
      </c>
      <c r="C114" s="5">
        <f t="shared" ca="1" si="13"/>
        <v>168</v>
      </c>
      <c r="D114" s="5">
        <f t="shared" ca="1" si="14"/>
        <v>112</v>
      </c>
      <c r="E114" s="5">
        <f t="shared" ca="1" si="15"/>
        <v>280</v>
      </c>
      <c r="F114" s="5">
        <f t="shared" ca="1" si="16"/>
        <v>0</v>
      </c>
      <c r="G114" s="5">
        <f t="shared" ca="1" si="11"/>
        <v>242</v>
      </c>
      <c r="H114" s="5">
        <f t="shared" ca="1" si="17"/>
        <v>0</v>
      </c>
      <c r="I114" s="5">
        <f t="shared" ca="1" si="18"/>
        <v>242</v>
      </c>
      <c r="J114" s="5">
        <f t="shared" ca="1" si="19"/>
        <v>38</v>
      </c>
      <c r="K114" s="5">
        <f t="shared" ca="1" si="20"/>
        <v>0</v>
      </c>
      <c r="L114" s="5">
        <f t="shared" ca="1" si="12"/>
        <v>242</v>
      </c>
      <c r="M114" s="11">
        <f t="shared" ca="1" si="21"/>
        <v>1</v>
      </c>
    </row>
    <row r="115" spans="2:13" x14ac:dyDescent="0.25">
      <c r="B115" s="2">
        <v>108</v>
      </c>
      <c r="C115" s="5">
        <f t="shared" ca="1" si="13"/>
        <v>38</v>
      </c>
      <c r="D115" s="5">
        <f t="shared" ca="1" si="14"/>
        <v>242</v>
      </c>
      <c r="E115" s="5">
        <f t="shared" ca="1" si="15"/>
        <v>280</v>
      </c>
      <c r="F115" s="5">
        <f t="shared" ca="1" si="16"/>
        <v>0</v>
      </c>
      <c r="G115" s="5">
        <f t="shared" ca="1" si="11"/>
        <v>170</v>
      </c>
      <c r="H115" s="5">
        <f t="shared" ca="1" si="17"/>
        <v>0</v>
      </c>
      <c r="I115" s="5">
        <f t="shared" ca="1" si="18"/>
        <v>170</v>
      </c>
      <c r="J115" s="5">
        <f t="shared" ca="1" si="19"/>
        <v>110</v>
      </c>
      <c r="K115" s="5">
        <f t="shared" ca="1" si="20"/>
        <v>0</v>
      </c>
      <c r="L115" s="5">
        <f t="shared" ca="1" si="12"/>
        <v>170</v>
      </c>
      <c r="M115" s="11">
        <f t="shared" ca="1" si="21"/>
        <v>1</v>
      </c>
    </row>
    <row r="116" spans="2:13" x14ac:dyDescent="0.25">
      <c r="B116" s="2">
        <v>109</v>
      </c>
      <c r="C116" s="5">
        <f t="shared" ca="1" si="13"/>
        <v>110</v>
      </c>
      <c r="D116" s="5">
        <f t="shared" ca="1" si="14"/>
        <v>170</v>
      </c>
      <c r="E116" s="5">
        <f t="shared" ca="1" si="15"/>
        <v>280</v>
      </c>
      <c r="F116" s="5">
        <f t="shared" ca="1" si="16"/>
        <v>0</v>
      </c>
      <c r="G116" s="5">
        <f t="shared" ca="1" si="11"/>
        <v>211</v>
      </c>
      <c r="H116" s="5">
        <f t="shared" ca="1" si="17"/>
        <v>0</v>
      </c>
      <c r="I116" s="5">
        <f t="shared" ca="1" si="18"/>
        <v>211</v>
      </c>
      <c r="J116" s="5">
        <f t="shared" ca="1" si="19"/>
        <v>69</v>
      </c>
      <c r="K116" s="5">
        <f t="shared" ca="1" si="20"/>
        <v>0</v>
      </c>
      <c r="L116" s="5">
        <f t="shared" ca="1" si="12"/>
        <v>211</v>
      </c>
      <c r="M116" s="11">
        <f t="shared" ca="1" si="21"/>
        <v>1</v>
      </c>
    </row>
    <row r="117" spans="2:13" x14ac:dyDescent="0.25">
      <c r="B117" s="2">
        <v>110</v>
      </c>
      <c r="C117" s="5">
        <f t="shared" ca="1" si="13"/>
        <v>69</v>
      </c>
      <c r="D117" s="5">
        <f t="shared" ca="1" si="14"/>
        <v>211</v>
      </c>
      <c r="E117" s="5">
        <f t="shared" ca="1" si="15"/>
        <v>280</v>
      </c>
      <c r="F117" s="5">
        <f t="shared" ca="1" si="16"/>
        <v>0</v>
      </c>
      <c r="G117" s="5">
        <f t="shared" ca="1" si="11"/>
        <v>166</v>
      </c>
      <c r="H117" s="5">
        <f t="shared" ca="1" si="17"/>
        <v>0</v>
      </c>
      <c r="I117" s="5">
        <f t="shared" ca="1" si="18"/>
        <v>166</v>
      </c>
      <c r="J117" s="5">
        <f t="shared" ca="1" si="19"/>
        <v>114</v>
      </c>
      <c r="K117" s="5">
        <f t="shared" ca="1" si="20"/>
        <v>0</v>
      </c>
      <c r="L117" s="5">
        <f t="shared" ca="1" si="12"/>
        <v>166</v>
      </c>
      <c r="M117" s="11">
        <f t="shared" ca="1" si="21"/>
        <v>1</v>
      </c>
    </row>
    <row r="118" spans="2:13" x14ac:dyDescent="0.25">
      <c r="B118" s="2">
        <v>111</v>
      </c>
      <c r="C118" s="5">
        <f t="shared" ca="1" si="13"/>
        <v>114</v>
      </c>
      <c r="D118" s="5">
        <f t="shared" ca="1" si="14"/>
        <v>166</v>
      </c>
      <c r="E118" s="5">
        <f t="shared" ca="1" si="15"/>
        <v>280</v>
      </c>
      <c r="F118" s="5">
        <f t="shared" ca="1" si="16"/>
        <v>0</v>
      </c>
      <c r="G118" s="5">
        <f t="shared" ca="1" si="11"/>
        <v>226</v>
      </c>
      <c r="H118" s="5">
        <f t="shared" ca="1" si="17"/>
        <v>0</v>
      </c>
      <c r="I118" s="5">
        <f t="shared" ca="1" si="18"/>
        <v>226</v>
      </c>
      <c r="J118" s="5">
        <f t="shared" ca="1" si="19"/>
        <v>54</v>
      </c>
      <c r="K118" s="5">
        <f t="shared" ca="1" si="20"/>
        <v>0</v>
      </c>
      <c r="L118" s="5">
        <f t="shared" ca="1" si="12"/>
        <v>226</v>
      </c>
      <c r="M118" s="11">
        <f t="shared" ca="1" si="21"/>
        <v>1</v>
      </c>
    </row>
    <row r="119" spans="2:13" x14ac:dyDescent="0.25">
      <c r="B119" s="2">
        <v>112</v>
      </c>
      <c r="C119" s="5">
        <f t="shared" ca="1" si="13"/>
        <v>54</v>
      </c>
      <c r="D119" s="5">
        <f t="shared" ca="1" si="14"/>
        <v>226</v>
      </c>
      <c r="E119" s="5">
        <f t="shared" ca="1" si="15"/>
        <v>280</v>
      </c>
      <c r="F119" s="5">
        <f t="shared" ca="1" si="16"/>
        <v>0</v>
      </c>
      <c r="G119" s="5">
        <f t="shared" ca="1" si="11"/>
        <v>187</v>
      </c>
      <c r="H119" s="5">
        <f t="shared" ca="1" si="17"/>
        <v>0</v>
      </c>
      <c r="I119" s="5">
        <f t="shared" ca="1" si="18"/>
        <v>187</v>
      </c>
      <c r="J119" s="5">
        <f t="shared" ca="1" si="19"/>
        <v>93</v>
      </c>
      <c r="K119" s="5">
        <f t="shared" ca="1" si="20"/>
        <v>0</v>
      </c>
      <c r="L119" s="5">
        <f t="shared" ca="1" si="12"/>
        <v>187</v>
      </c>
      <c r="M119" s="11">
        <f t="shared" ca="1" si="21"/>
        <v>1</v>
      </c>
    </row>
    <row r="120" spans="2:13" x14ac:dyDescent="0.25">
      <c r="B120" s="2">
        <v>113</v>
      </c>
      <c r="C120" s="5">
        <f t="shared" ca="1" si="13"/>
        <v>93</v>
      </c>
      <c r="D120" s="5">
        <f t="shared" ca="1" si="14"/>
        <v>187</v>
      </c>
      <c r="E120" s="5">
        <f t="shared" ca="1" si="15"/>
        <v>280</v>
      </c>
      <c r="F120" s="5">
        <f t="shared" ca="1" si="16"/>
        <v>0</v>
      </c>
      <c r="G120" s="5">
        <f t="shared" ca="1" si="11"/>
        <v>230</v>
      </c>
      <c r="H120" s="5">
        <f t="shared" ca="1" si="17"/>
        <v>0</v>
      </c>
      <c r="I120" s="5">
        <f t="shared" ca="1" si="18"/>
        <v>230</v>
      </c>
      <c r="J120" s="5">
        <f t="shared" ca="1" si="19"/>
        <v>50</v>
      </c>
      <c r="K120" s="5">
        <f t="shared" ca="1" si="20"/>
        <v>0</v>
      </c>
      <c r="L120" s="5">
        <f t="shared" ca="1" si="12"/>
        <v>230</v>
      </c>
      <c r="M120" s="11">
        <f t="shared" ca="1" si="21"/>
        <v>1</v>
      </c>
    </row>
    <row r="121" spans="2:13" x14ac:dyDescent="0.25">
      <c r="B121" s="2">
        <v>114</v>
      </c>
      <c r="C121" s="5">
        <f t="shared" ca="1" si="13"/>
        <v>50</v>
      </c>
      <c r="D121" s="5">
        <f t="shared" ca="1" si="14"/>
        <v>230</v>
      </c>
      <c r="E121" s="5">
        <f t="shared" ca="1" si="15"/>
        <v>280</v>
      </c>
      <c r="F121" s="5">
        <f t="shared" ca="1" si="16"/>
        <v>0</v>
      </c>
      <c r="G121" s="5">
        <f t="shared" ca="1" si="11"/>
        <v>121</v>
      </c>
      <c r="H121" s="5">
        <f t="shared" ca="1" si="17"/>
        <v>0</v>
      </c>
      <c r="I121" s="5">
        <f t="shared" ca="1" si="18"/>
        <v>121</v>
      </c>
      <c r="J121" s="5">
        <f t="shared" ca="1" si="19"/>
        <v>159</v>
      </c>
      <c r="K121" s="5">
        <f t="shared" ca="1" si="20"/>
        <v>0</v>
      </c>
      <c r="L121" s="5">
        <f t="shared" ca="1" si="12"/>
        <v>121</v>
      </c>
      <c r="M121" s="11">
        <f t="shared" ca="1" si="21"/>
        <v>1</v>
      </c>
    </row>
    <row r="122" spans="2:13" x14ac:dyDescent="0.25">
      <c r="B122" s="2">
        <v>115</v>
      </c>
      <c r="C122" s="5">
        <f t="shared" ca="1" si="13"/>
        <v>159</v>
      </c>
      <c r="D122" s="5">
        <f t="shared" ca="1" si="14"/>
        <v>121</v>
      </c>
      <c r="E122" s="5">
        <f t="shared" ca="1" si="15"/>
        <v>280</v>
      </c>
      <c r="F122" s="5">
        <f t="shared" ca="1" si="16"/>
        <v>0</v>
      </c>
      <c r="G122" s="5">
        <f t="shared" ca="1" si="11"/>
        <v>135</v>
      </c>
      <c r="H122" s="5">
        <f t="shared" ca="1" si="17"/>
        <v>0</v>
      </c>
      <c r="I122" s="5">
        <f t="shared" ca="1" si="18"/>
        <v>135</v>
      </c>
      <c r="J122" s="5">
        <f t="shared" ca="1" si="19"/>
        <v>145</v>
      </c>
      <c r="K122" s="5">
        <f t="shared" ca="1" si="20"/>
        <v>0</v>
      </c>
      <c r="L122" s="5">
        <f t="shared" ca="1" si="12"/>
        <v>135</v>
      </c>
      <c r="M122" s="11">
        <f t="shared" ca="1" si="21"/>
        <v>1</v>
      </c>
    </row>
    <row r="123" spans="2:13" x14ac:dyDescent="0.25">
      <c r="B123" s="2">
        <v>116</v>
      </c>
      <c r="C123" s="5">
        <f t="shared" ca="1" si="13"/>
        <v>145</v>
      </c>
      <c r="D123" s="5">
        <f t="shared" ca="1" si="14"/>
        <v>135</v>
      </c>
      <c r="E123" s="5">
        <f t="shared" ca="1" si="15"/>
        <v>280</v>
      </c>
      <c r="F123" s="5">
        <f t="shared" ca="1" si="16"/>
        <v>0</v>
      </c>
      <c r="G123" s="5">
        <f t="shared" ca="1" si="11"/>
        <v>195</v>
      </c>
      <c r="H123" s="5">
        <f t="shared" ca="1" si="17"/>
        <v>0</v>
      </c>
      <c r="I123" s="5">
        <f t="shared" ca="1" si="18"/>
        <v>195</v>
      </c>
      <c r="J123" s="5">
        <f t="shared" ca="1" si="19"/>
        <v>85</v>
      </c>
      <c r="K123" s="5">
        <f t="shared" ca="1" si="20"/>
        <v>0</v>
      </c>
      <c r="L123" s="5">
        <f t="shared" ca="1" si="12"/>
        <v>195</v>
      </c>
      <c r="M123" s="11">
        <f t="shared" ca="1" si="21"/>
        <v>1</v>
      </c>
    </row>
    <row r="124" spans="2:13" x14ac:dyDescent="0.25">
      <c r="B124" s="2">
        <v>117</v>
      </c>
      <c r="C124" s="5">
        <f t="shared" ca="1" si="13"/>
        <v>85</v>
      </c>
      <c r="D124" s="5">
        <f t="shared" ca="1" si="14"/>
        <v>195</v>
      </c>
      <c r="E124" s="5">
        <f t="shared" ca="1" si="15"/>
        <v>280</v>
      </c>
      <c r="F124" s="5">
        <f t="shared" ca="1" si="16"/>
        <v>0</v>
      </c>
      <c r="G124" s="5">
        <f t="shared" ca="1" si="11"/>
        <v>192</v>
      </c>
      <c r="H124" s="5">
        <f t="shared" ca="1" si="17"/>
        <v>0</v>
      </c>
      <c r="I124" s="5">
        <f t="shared" ca="1" si="18"/>
        <v>192</v>
      </c>
      <c r="J124" s="5">
        <f t="shared" ca="1" si="19"/>
        <v>88</v>
      </c>
      <c r="K124" s="5">
        <f t="shared" ca="1" si="20"/>
        <v>0</v>
      </c>
      <c r="L124" s="5">
        <f t="shared" ca="1" si="12"/>
        <v>192</v>
      </c>
      <c r="M124" s="11">
        <f t="shared" ca="1" si="21"/>
        <v>1</v>
      </c>
    </row>
    <row r="125" spans="2:13" x14ac:dyDescent="0.25">
      <c r="B125" s="2">
        <v>118</v>
      </c>
      <c r="C125" s="5">
        <f t="shared" ca="1" si="13"/>
        <v>88</v>
      </c>
      <c r="D125" s="5">
        <f t="shared" ca="1" si="14"/>
        <v>192</v>
      </c>
      <c r="E125" s="5">
        <f t="shared" ca="1" si="15"/>
        <v>280</v>
      </c>
      <c r="F125" s="5">
        <f t="shared" ca="1" si="16"/>
        <v>0</v>
      </c>
      <c r="G125" s="5">
        <f t="shared" ca="1" si="11"/>
        <v>218</v>
      </c>
      <c r="H125" s="5">
        <f t="shared" ca="1" si="17"/>
        <v>0</v>
      </c>
      <c r="I125" s="5">
        <f t="shared" ca="1" si="18"/>
        <v>218</v>
      </c>
      <c r="J125" s="5">
        <f t="shared" ca="1" si="19"/>
        <v>62</v>
      </c>
      <c r="K125" s="5">
        <f t="shared" ca="1" si="20"/>
        <v>0</v>
      </c>
      <c r="L125" s="5">
        <f t="shared" ca="1" si="12"/>
        <v>218</v>
      </c>
      <c r="M125" s="11">
        <f t="shared" ca="1" si="21"/>
        <v>1</v>
      </c>
    </row>
    <row r="126" spans="2:13" x14ac:dyDescent="0.25">
      <c r="B126" s="2">
        <v>119</v>
      </c>
      <c r="C126" s="5">
        <f t="shared" ca="1" si="13"/>
        <v>62</v>
      </c>
      <c r="D126" s="5">
        <f t="shared" ca="1" si="14"/>
        <v>218</v>
      </c>
      <c r="E126" s="5">
        <f t="shared" ca="1" si="15"/>
        <v>280</v>
      </c>
      <c r="F126" s="5">
        <f t="shared" ca="1" si="16"/>
        <v>0</v>
      </c>
      <c r="G126" s="5">
        <f t="shared" ca="1" si="11"/>
        <v>141</v>
      </c>
      <c r="H126" s="5">
        <f t="shared" ca="1" si="17"/>
        <v>0</v>
      </c>
      <c r="I126" s="5">
        <f t="shared" ca="1" si="18"/>
        <v>141</v>
      </c>
      <c r="J126" s="5">
        <f t="shared" ca="1" si="19"/>
        <v>139</v>
      </c>
      <c r="K126" s="5">
        <f t="shared" ca="1" si="20"/>
        <v>0</v>
      </c>
      <c r="L126" s="5">
        <f t="shared" ca="1" si="12"/>
        <v>141</v>
      </c>
      <c r="M126" s="11">
        <f t="shared" ca="1" si="21"/>
        <v>1</v>
      </c>
    </row>
    <row r="127" spans="2:13" x14ac:dyDescent="0.25">
      <c r="B127" s="2">
        <v>120</v>
      </c>
      <c r="C127" s="5">
        <f t="shared" ca="1" si="13"/>
        <v>139</v>
      </c>
      <c r="D127" s="5">
        <f t="shared" ca="1" si="14"/>
        <v>141</v>
      </c>
      <c r="E127" s="5">
        <f t="shared" ca="1" si="15"/>
        <v>280</v>
      </c>
      <c r="F127" s="5">
        <f t="shared" ca="1" si="16"/>
        <v>0</v>
      </c>
      <c r="G127" s="5">
        <f t="shared" ca="1" si="11"/>
        <v>268</v>
      </c>
      <c r="H127" s="5">
        <f t="shared" ca="1" si="17"/>
        <v>0</v>
      </c>
      <c r="I127" s="5">
        <f t="shared" ca="1" si="18"/>
        <v>268</v>
      </c>
      <c r="J127" s="5">
        <f t="shared" ca="1" si="19"/>
        <v>12</v>
      </c>
      <c r="K127" s="5">
        <f t="shared" ca="1" si="20"/>
        <v>0</v>
      </c>
      <c r="L127" s="5">
        <f t="shared" ca="1" si="12"/>
        <v>268</v>
      </c>
      <c r="M127" s="11">
        <f t="shared" ca="1" si="21"/>
        <v>1</v>
      </c>
    </row>
    <row r="128" spans="2:13" x14ac:dyDescent="0.25">
      <c r="B128" s="2">
        <v>121</v>
      </c>
      <c r="C128" s="5">
        <f t="shared" ca="1" si="13"/>
        <v>12</v>
      </c>
      <c r="D128" s="5">
        <f t="shared" ca="1" si="14"/>
        <v>268</v>
      </c>
      <c r="E128" s="5">
        <f t="shared" ca="1" si="15"/>
        <v>280</v>
      </c>
      <c r="F128" s="5">
        <f t="shared" ca="1" si="16"/>
        <v>0</v>
      </c>
      <c r="G128" s="5">
        <f t="shared" ca="1" si="11"/>
        <v>134</v>
      </c>
      <c r="H128" s="5">
        <f t="shared" ca="1" si="17"/>
        <v>0</v>
      </c>
      <c r="I128" s="5">
        <f t="shared" ca="1" si="18"/>
        <v>134</v>
      </c>
      <c r="J128" s="5">
        <f t="shared" ca="1" si="19"/>
        <v>146</v>
      </c>
      <c r="K128" s="5">
        <f t="shared" ca="1" si="20"/>
        <v>0</v>
      </c>
      <c r="L128" s="5">
        <f t="shared" ca="1" si="12"/>
        <v>134</v>
      </c>
      <c r="M128" s="11">
        <f t="shared" ca="1" si="21"/>
        <v>1</v>
      </c>
    </row>
    <row r="129" spans="2:13" x14ac:dyDescent="0.25">
      <c r="B129" s="2">
        <v>122</v>
      </c>
      <c r="C129" s="5">
        <f t="shared" ca="1" si="13"/>
        <v>146</v>
      </c>
      <c r="D129" s="5">
        <f t="shared" ca="1" si="14"/>
        <v>134</v>
      </c>
      <c r="E129" s="5">
        <f t="shared" ca="1" si="15"/>
        <v>280</v>
      </c>
      <c r="F129" s="5">
        <f t="shared" ca="1" si="16"/>
        <v>0</v>
      </c>
      <c r="G129" s="5">
        <f t="shared" ca="1" si="11"/>
        <v>284</v>
      </c>
      <c r="H129" s="5">
        <f t="shared" ca="1" si="17"/>
        <v>0</v>
      </c>
      <c r="I129" s="5">
        <f t="shared" ca="1" si="18"/>
        <v>280</v>
      </c>
      <c r="J129" s="5">
        <f t="shared" ca="1" si="19"/>
        <v>0</v>
      </c>
      <c r="K129" s="5">
        <f t="shared" ca="1" si="20"/>
        <v>4</v>
      </c>
      <c r="L129" s="5">
        <f t="shared" ca="1" si="12"/>
        <v>284</v>
      </c>
      <c r="M129" s="11">
        <f t="shared" ca="1" si="21"/>
        <v>0.9859154929577465</v>
      </c>
    </row>
    <row r="130" spans="2:13" x14ac:dyDescent="0.25">
      <c r="B130" s="2">
        <v>123</v>
      </c>
      <c r="C130" s="5">
        <f t="shared" ca="1" si="13"/>
        <v>0</v>
      </c>
      <c r="D130" s="5">
        <f t="shared" ca="1" si="14"/>
        <v>284</v>
      </c>
      <c r="E130" s="5">
        <f t="shared" ca="1" si="15"/>
        <v>284</v>
      </c>
      <c r="F130" s="5">
        <f t="shared" ca="1" si="16"/>
        <v>4</v>
      </c>
      <c r="G130" s="5">
        <f t="shared" ca="1" si="11"/>
        <v>298</v>
      </c>
      <c r="H130" s="5">
        <f t="shared" ca="1" si="17"/>
        <v>4</v>
      </c>
      <c r="I130" s="5">
        <f t="shared" ca="1" si="18"/>
        <v>280</v>
      </c>
      <c r="J130" s="5">
        <f t="shared" ca="1" si="19"/>
        <v>0</v>
      </c>
      <c r="K130" s="5">
        <f t="shared" ca="1" si="20"/>
        <v>18</v>
      </c>
      <c r="L130" s="5">
        <f t="shared" ca="1" si="12"/>
        <v>298</v>
      </c>
      <c r="M130" s="11">
        <f t="shared" ca="1" si="21"/>
        <v>0.93959731543624159</v>
      </c>
    </row>
    <row r="131" spans="2:13" x14ac:dyDescent="0.25">
      <c r="B131" s="2">
        <v>124</v>
      </c>
      <c r="C131" s="5">
        <f t="shared" ca="1" si="13"/>
        <v>0</v>
      </c>
      <c r="D131" s="5">
        <f t="shared" ca="1" si="14"/>
        <v>298</v>
      </c>
      <c r="E131" s="5">
        <f t="shared" ca="1" si="15"/>
        <v>298</v>
      </c>
      <c r="F131" s="5">
        <f t="shared" ca="1" si="16"/>
        <v>18</v>
      </c>
      <c r="G131" s="5">
        <f t="shared" ca="1" si="11"/>
        <v>102</v>
      </c>
      <c r="H131" s="5">
        <f t="shared" ca="1" si="17"/>
        <v>18</v>
      </c>
      <c r="I131" s="5">
        <f t="shared" ca="1" si="18"/>
        <v>102</v>
      </c>
      <c r="J131" s="5">
        <f t="shared" ca="1" si="19"/>
        <v>178</v>
      </c>
      <c r="K131" s="5">
        <f t="shared" ca="1" si="20"/>
        <v>0</v>
      </c>
      <c r="L131" s="5">
        <f t="shared" ca="1" si="12"/>
        <v>102</v>
      </c>
      <c r="M131" s="11">
        <f t="shared" ca="1" si="21"/>
        <v>1</v>
      </c>
    </row>
    <row r="132" spans="2:13" x14ac:dyDescent="0.25">
      <c r="B132" s="2">
        <v>125</v>
      </c>
      <c r="C132" s="5">
        <f t="shared" ca="1" si="13"/>
        <v>178</v>
      </c>
      <c r="D132" s="5">
        <f t="shared" ca="1" si="14"/>
        <v>102</v>
      </c>
      <c r="E132" s="5">
        <f t="shared" ca="1" si="15"/>
        <v>280</v>
      </c>
      <c r="F132" s="5">
        <f t="shared" ca="1" si="16"/>
        <v>0</v>
      </c>
      <c r="G132" s="5">
        <f t="shared" ca="1" si="11"/>
        <v>128</v>
      </c>
      <c r="H132" s="5">
        <f t="shared" ca="1" si="17"/>
        <v>0</v>
      </c>
      <c r="I132" s="5">
        <f t="shared" ca="1" si="18"/>
        <v>128</v>
      </c>
      <c r="J132" s="5">
        <f t="shared" ca="1" si="19"/>
        <v>152</v>
      </c>
      <c r="K132" s="5">
        <f t="shared" ca="1" si="20"/>
        <v>0</v>
      </c>
      <c r="L132" s="5">
        <f t="shared" ca="1" si="12"/>
        <v>128</v>
      </c>
      <c r="M132" s="11">
        <f t="shared" ca="1" si="21"/>
        <v>1</v>
      </c>
    </row>
    <row r="133" spans="2:13" x14ac:dyDescent="0.25">
      <c r="B133" s="2">
        <v>126</v>
      </c>
      <c r="C133" s="5">
        <f t="shared" ca="1" si="13"/>
        <v>152</v>
      </c>
      <c r="D133" s="5">
        <f t="shared" ca="1" si="14"/>
        <v>128</v>
      </c>
      <c r="E133" s="5">
        <f t="shared" ca="1" si="15"/>
        <v>280</v>
      </c>
      <c r="F133" s="5">
        <f t="shared" ca="1" si="16"/>
        <v>0</v>
      </c>
      <c r="G133" s="5">
        <f t="shared" ca="1" si="11"/>
        <v>199</v>
      </c>
      <c r="H133" s="5">
        <f t="shared" ca="1" si="17"/>
        <v>0</v>
      </c>
      <c r="I133" s="5">
        <f t="shared" ca="1" si="18"/>
        <v>199</v>
      </c>
      <c r="J133" s="5">
        <f t="shared" ca="1" si="19"/>
        <v>81</v>
      </c>
      <c r="K133" s="5">
        <f t="shared" ca="1" si="20"/>
        <v>0</v>
      </c>
      <c r="L133" s="5">
        <f t="shared" ca="1" si="12"/>
        <v>199</v>
      </c>
      <c r="M133" s="11">
        <f t="shared" ca="1" si="21"/>
        <v>1</v>
      </c>
    </row>
    <row r="134" spans="2:13" x14ac:dyDescent="0.25">
      <c r="B134" s="2">
        <v>127</v>
      </c>
      <c r="C134" s="5">
        <f t="shared" ca="1" si="13"/>
        <v>81</v>
      </c>
      <c r="D134" s="5">
        <f t="shared" ca="1" si="14"/>
        <v>199</v>
      </c>
      <c r="E134" s="5">
        <f t="shared" ca="1" si="15"/>
        <v>280</v>
      </c>
      <c r="F134" s="5">
        <f t="shared" ca="1" si="16"/>
        <v>0</v>
      </c>
      <c r="G134" s="5">
        <f t="shared" ca="1" si="11"/>
        <v>113</v>
      </c>
      <c r="H134" s="5">
        <f t="shared" ca="1" si="17"/>
        <v>0</v>
      </c>
      <c r="I134" s="5">
        <f t="shared" ca="1" si="18"/>
        <v>113</v>
      </c>
      <c r="J134" s="5">
        <f t="shared" ca="1" si="19"/>
        <v>167</v>
      </c>
      <c r="K134" s="5">
        <f t="shared" ca="1" si="20"/>
        <v>0</v>
      </c>
      <c r="L134" s="5">
        <f t="shared" ca="1" si="12"/>
        <v>113</v>
      </c>
      <c r="M134" s="11">
        <f t="shared" ca="1" si="21"/>
        <v>1</v>
      </c>
    </row>
    <row r="135" spans="2:13" x14ac:dyDescent="0.25">
      <c r="B135" s="2">
        <v>128</v>
      </c>
      <c r="C135" s="5">
        <f t="shared" ca="1" si="13"/>
        <v>167</v>
      </c>
      <c r="D135" s="5">
        <f t="shared" ca="1" si="14"/>
        <v>113</v>
      </c>
      <c r="E135" s="5">
        <f t="shared" ca="1" si="15"/>
        <v>280</v>
      </c>
      <c r="F135" s="5">
        <f t="shared" ca="1" si="16"/>
        <v>0</v>
      </c>
      <c r="G135" s="5">
        <f t="shared" ca="1" si="11"/>
        <v>186</v>
      </c>
      <c r="H135" s="5">
        <f t="shared" ca="1" si="17"/>
        <v>0</v>
      </c>
      <c r="I135" s="5">
        <f t="shared" ca="1" si="18"/>
        <v>186</v>
      </c>
      <c r="J135" s="5">
        <f t="shared" ca="1" si="19"/>
        <v>94</v>
      </c>
      <c r="K135" s="5">
        <f t="shared" ca="1" si="20"/>
        <v>0</v>
      </c>
      <c r="L135" s="5">
        <f t="shared" ca="1" si="12"/>
        <v>186</v>
      </c>
      <c r="M135" s="11">
        <f t="shared" ca="1" si="21"/>
        <v>1</v>
      </c>
    </row>
    <row r="136" spans="2:13" x14ac:dyDescent="0.25">
      <c r="B136" s="2">
        <v>129</v>
      </c>
      <c r="C136" s="5">
        <f t="shared" ca="1" si="13"/>
        <v>94</v>
      </c>
      <c r="D136" s="5">
        <f t="shared" ca="1" si="14"/>
        <v>186</v>
      </c>
      <c r="E136" s="5">
        <f t="shared" ca="1" si="15"/>
        <v>280</v>
      </c>
      <c r="F136" s="5">
        <f t="shared" ca="1" si="16"/>
        <v>0</v>
      </c>
      <c r="G136" s="5">
        <f t="shared" ref="G136:G199" ca="1" si="22">RANDBETWEEN(DemandMin,DemandMax)</f>
        <v>146</v>
      </c>
      <c r="H136" s="5">
        <f t="shared" ca="1" si="17"/>
        <v>0</v>
      </c>
      <c r="I136" s="5">
        <f t="shared" ca="1" si="18"/>
        <v>146</v>
      </c>
      <c r="J136" s="5">
        <f t="shared" ca="1" si="19"/>
        <v>134</v>
      </c>
      <c r="K136" s="5">
        <f t="shared" ca="1" si="20"/>
        <v>0</v>
      </c>
      <c r="L136" s="5">
        <f t="shared" ref="L136:L199" ca="1" si="23">MAX(0,BaseStock-(J136-K136))</f>
        <v>146</v>
      </c>
      <c r="M136" s="11">
        <f t="shared" ca="1" si="21"/>
        <v>1</v>
      </c>
    </row>
    <row r="137" spans="2:13" x14ac:dyDescent="0.25">
      <c r="B137" s="2">
        <v>130</v>
      </c>
      <c r="C137" s="5">
        <f t="shared" ref="C137:C200" ca="1" si="24">J136</f>
        <v>134</v>
      </c>
      <c r="D137" s="5">
        <f t="shared" ref="D137:D200" ca="1" si="25">L136</f>
        <v>146</v>
      </c>
      <c r="E137" s="5">
        <f t="shared" ref="E137:E200" ca="1" si="26">SUM(C137:D137)</f>
        <v>280</v>
      </c>
      <c r="F137" s="5">
        <f t="shared" ref="F137:F200" ca="1" si="27">K136</f>
        <v>0</v>
      </c>
      <c r="G137" s="5">
        <f t="shared" ca="1" si="22"/>
        <v>157</v>
      </c>
      <c r="H137" s="5">
        <f t="shared" ref="H137:H200" ca="1" si="28">MIN(F137,E137)</f>
        <v>0</v>
      </c>
      <c r="I137" s="5">
        <f t="shared" ref="I137:I200" ca="1" si="29">MIN(G137,E137-H137)</f>
        <v>157</v>
      </c>
      <c r="J137" s="5">
        <f t="shared" ref="J137:J200" ca="1" si="30">E137-H137-I137</f>
        <v>123</v>
      </c>
      <c r="K137" s="5">
        <f t="shared" ref="K137:K200" ca="1" si="31">F137+G137-H137-I137</f>
        <v>0</v>
      </c>
      <c r="L137" s="5">
        <f t="shared" ca="1" si="23"/>
        <v>157</v>
      </c>
      <c r="M137" s="11">
        <f t="shared" ref="M137:M200" ca="1" si="32">IFERROR(I137/G137,1)</f>
        <v>1</v>
      </c>
    </row>
    <row r="138" spans="2:13" x14ac:dyDescent="0.25">
      <c r="B138" s="2">
        <v>131</v>
      </c>
      <c r="C138" s="5">
        <f t="shared" ca="1" si="24"/>
        <v>123</v>
      </c>
      <c r="D138" s="5">
        <f t="shared" ca="1" si="25"/>
        <v>157</v>
      </c>
      <c r="E138" s="5">
        <f t="shared" ca="1" si="26"/>
        <v>280</v>
      </c>
      <c r="F138" s="5">
        <f t="shared" ca="1" si="27"/>
        <v>0</v>
      </c>
      <c r="G138" s="5">
        <f t="shared" ca="1" si="22"/>
        <v>134</v>
      </c>
      <c r="H138" s="5">
        <f t="shared" ca="1" si="28"/>
        <v>0</v>
      </c>
      <c r="I138" s="5">
        <f t="shared" ca="1" si="29"/>
        <v>134</v>
      </c>
      <c r="J138" s="5">
        <f t="shared" ca="1" si="30"/>
        <v>146</v>
      </c>
      <c r="K138" s="5">
        <f t="shared" ca="1" si="31"/>
        <v>0</v>
      </c>
      <c r="L138" s="5">
        <f t="shared" ca="1" si="23"/>
        <v>134</v>
      </c>
      <c r="M138" s="11">
        <f t="shared" ca="1" si="32"/>
        <v>1</v>
      </c>
    </row>
    <row r="139" spans="2:13" x14ac:dyDescent="0.25">
      <c r="B139" s="2">
        <v>132</v>
      </c>
      <c r="C139" s="5">
        <f t="shared" ca="1" si="24"/>
        <v>146</v>
      </c>
      <c r="D139" s="5">
        <f t="shared" ca="1" si="25"/>
        <v>134</v>
      </c>
      <c r="E139" s="5">
        <f t="shared" ca="1" si="26"/>
        <v>280</v>
      </c>
      <c r="F139" s="5">
        <f t="shared" ca="1" si="27"/>
        <v>0</v>
      </c>
      <c r="G139" s="5">
        <f t="shared" ca="1" si="22"/>
        <v>193</v>
      </c>
      <c r="H139" s="5">
        <f t="shared" ca="1" si="28"/>
        <v>0</v>
      </c>
      <c r="I139" s="5">
        <f t="shared" ca="1" si="29"/>
        <v>193</v>
      </c>
      <c r="J139" s="5">
        <f t="shared" ca="1" si="30"/>
        <v>87</v>
      </c>
      <c r="K139" s="5">
        <f t="shared" ca="1" si="31"/>
        <v>0</v>
      </c>
      <c r="L139" s="5">
        <f t="shared" ca="1" si="23"/>
        <v>193</v>
      </c>
      <c r="M139" s="11">
        <f t="shared" ca="1" si="32"/>
        <v>1</v>
      </c>
    </row>
    <row r="140" spans="2:13" x14ac:dyDescent="0.25">
      <c r="B140" s="2">
        <v>133</v>
      </c>
      <c r="C140" s="5">
        <f t="shared" ca="1" si="24"/>
        <v>87</v>
      </c>
      <c r="D140" s="5">
        <f t="shared" ca="1" si="25"/>
        <v>193</v>
      </c>
      <c r="E140" s="5">
        <f t="shared" ca="1" si="26"/>
        <v>280</v>
      </c>
      <c r="F140" s="5">
        <f t="shared" ca="1" si="27"/>
        <v>0</v>
      </c>
      <c r="G140" s="5">
        <f t="shared" ca="1" si="22"/>
        <v>271</v>
      </c>
      <c r="H140" s="5">
        <f t="shared" ca="1" si="28"/>
        <v>0</v>
      </c>
      <c r="I140" s="5">
        <f t="shared" ca="1" si="29"/>
        <v>271</v>
      </c>
      <c r="J140" s="5">
        <f t="shared" ca="1" si="30"/>
        <v>9</v>
      </c>
      <c r="K140" s="5">
        <f t="shared" ca="1" si="31"/>
        <v>0</v>
      </c>
      <c r="L140" s="5">
        <f t="shared" ca="1" si="23"/>
        <v>271</v>
      </c>
      <c r="M140" s="11">
        <f t="shared" ca="1" si="32"/>
        <v>1</v>
      </c>
    </row>
    <row r="141" spans="2:13" x14ac:dyDescent="0.25">
      <c r="B141" s="2">
        <v>134</v>
      </c>
      <c r="C141" s="5">
        <f t="shared" ca="1" si="24"/>
        <v>9</v>
      </c>
      <c r="D141" s="5">
        <f t="shared" ca="1" si="25"/>
        <v>271</v>
      </c>
      <c r="E141" s="5">
        <f t="shared" ca="1" si="26"/>
        <v>280</v>
      </c>
      <c r="F141" s="5">
        <f t="shared" ca="1" si="27"/>
        <v>0</v>
      </c>
      <c r="G141" s="5">
        <f t="shared" ca="1" si="22"/>
        <v>127</v>
      </c>
      <c r="H141" s="5">
        <f t="shared" ca="1" si="28"/>
        <v>0</v>
      </c>
      <c r="I141" s="5">
        <f t="shared" ca="1" si="29"/>
        <v>127</v>
      </c>
      <c r="J141" s="5">
        <f t="shared" ca="1" si="30"/>
        <v>153</v>
      </c>
      <c r="K141" s="5">
        <f t="shared" ca="1" si="31"/>
        <v>0</v>
      </c>
      <c r="L141" s="5">
        <f t="shared" ca="1" si="23"/>
        <v>127</v>
      </c>
      <c r="M141" s="11">
        <f t="shared" ca="1" si="32"/>
        <v>1</v>
      </c>
    </row>
    <row r="142" spans="2:13" x14ac:dyDescent="0.25">
      <c r="B142" s="2">
        <v>135</v>
      </c>
      <c r="C142" s="5">
        <f t="shared" ca="1" si="24"/>
        <v>153</v>
      </c>
      <c r="D142" s="5">
        <f t="shared" ca="1" si="25"/>
        <v>127</v>
      </c>
      <c r="E142" s="5">
        <f t="shared" ca="1" si="26"/>
        <v>280</v>
      </c>
      <c r="F142" s="5">
        <f t="shared" ca="1" si="27"/>
        <v>0</v>
      </c>
      <c r="G142" s="5">
        <f t="shared" ca="1" si="22"/>
        <v>231</v>
      </c>
      <c r="H142" s="5">
        <f t="shared" ca="1" si="28"/>
        <v>0</v>
      </c>
      <c r="I142" s="5">
        <f t="shared" ca="1" si="29"/>
        <v>231</v>
      </c>
      <c r="J142" s="5">
        <f t="shared" ca="1" si="30"/>
        <v>49</v>
      </c>
      <c r="K142" s="5">
        <f t="shared" ca="1" si="31"/>
        <v>0</v>
      </c>
      <c r="L142" s="5">
        <f t="shared" ca="1" si="23"/>
        <v>231</v>
      </c>
      <c r="M142" s="11">
        <f t="shared" ca="1" si="32"/>
        <v>1</v>
      </c>
    </row>
    <row r="143" spans="2:13" x14ac:dyDescent="0.25">
      <c r="B143" s="2">
        <v>136</v>
      </c>
      <c r="C143" s="5">
        <f t="shared" ca="1" si="24"/>
        <v>49</v>
      </c>
      <c r="D143" s="5">
        <f t="shared" ca="1" si="25"/>
        <v>231</v>
      </c>
      <c r="E143" s="5">
        <f t="shared" ca="1" si="26"/>
        <v>280</v>
      </c>
      <c r="F143" s="5">
        <f t="shared" ca="1" si="27"/>
        <v>0</v>
      </c>
      <c r="G143" s="5">
        <f t="shared" ca="1" si="22"/>
        <v>143</v>
      </c>
      <c r="H143" s="5">
        <f t="shared" ca="1" si="28"/>
        <v>0</v>
      </c>
      <c r="I143" s="5">
        <f t="shared" ca="1" si="29"/>
        <v>143</v>
      </c>
      <c r="J143" s="5">
        <f t="shared" ca="1" si="30"/>
        <v>137</v>
      </c>
      <c r="K143" s="5">
        <f t="shared" ca="1" si="31"/>
        <v>0</v>
      </c>
      <c r="L143" s="5">
        <f t="shared" ca="1" si="23"/>
        <v>143</v>
      </c>
      <c r="M143" s="11">
        <f t="shared" ca="1" si="32"/>
        <v>1</v>
      </c>
    </row>
    <row r="144" spans="2:13" x14ac:dyDescent="0.25">
      <c r="B144" s="2">
        <v>137</v>
      </c>
      <c r="C144" s="5">
        <f t="shared" ca="1" si="24"/>
        <v>137</v>
      </c>
      <c r="D144" s="5">
        <f t="shared" ca="1" si="25"/>
        <v>143</v>
      </c>
      <c r="E144" s="5">
        <f t="shared" ca="1" si="26"/>
        <v>280</v>
      </c>
      <c r="F144" s="5">
        <f t="shared" ca="1" si="27"/>
        <v>0</v>
      </c>
      <c r="G144" s="5">
        <f t="shared" ca="1" si="22"/>
        <v>133</v>
      </c>
      <c r="H144" s="5">
        <f t="shared" ca="1" si="28"/>
        <v>0</v>
      </c>
      <c r="I144" s="5">
        <f t="shared" ca="1" si="29"/>
        <v>133</v>
      </c>
      <c r="J144" s="5">
        <f t="shared" ca="1" si="30"/>
        <v>147</v>
      </c>
      <c r="K144" s="5">
        <f t="shared" ca="1" si="31"/>
        <v>0</v>
      </c>
      <c r="L144" s="5">
        <f t="shared" ca="1" si="23"/>
        <v>133</v>
      </c>
      <c r="M144" s="11">
        <f t="shared" ca="1" si="32"/>
        <v>1</v>
      </c>
    </row>
    <row r="145" spans="2:13" x14ac:dyDescent="0.25">
      <c r="B145" s="2">
        <v>138</v>
      </c>
      <c r="C145" s="5">
        <f t="shared" ca="1" si="24"/>
        <v>147</v>
      </c>
      <c r="D145" s="5">
        <f t="shared" ca="1" si="25"/>
        <v>133</v>
      </c>
      <c r="E145" s="5">
        <f t="shared" ca="1" si="26"/>
        <v>280</v>
      </c>
      <c r="F145" s="5">
        <f t="shared" ca="1" si="27"/>
        <v>0</v>
      </c>
      <c r="G145" s="5">
        <f t="shared" ca="1" si="22"/>
        <v>275</v>
      </c>
      <c r="H145" s="5">
        <f t="shared" ca="1" si="28"/>
        <v>0</v>
      </c>
      <c r="I145" s="5">
        <f t="shared" ca="1" si="29"/>
        <v>275</v>
      </c>
      <c r="J145" s="5">
        <f t="shared" ca="1" si="30"/>
        <v>5</v>
      </c>
      <c r="K145" s="5">
        <f t="shared" ca="1" si="31"/>
        <v>0</v>
      </c>
      <c r="L145" s="5">
        <f t="shared" ca="1" si="23"/>
        <v>275</v>
      </c>
      <c r="M145" s="11">
        <f t="shared" ca="1" si="32"/>
        <v>1</v>
      </c>
    </row>
    <row r="146" spans="2:13" x14ac:dyDescent="0.25">
      <c r="B146" s="2">
        <v>139</v>
      </c>
      <c r="C146" s="5">
        <f t="shared" ca="1" si="24"/>
        <v>5</v>
      </c>
      <c r="D146" s="5">
        <f t="shared" ca="1" si="25"/>
        <v>275</v>
      </c>
      <c r="E146" s="5">
        <f t="shared" ca="1" si="26"/>
        <v>280</v>
      </c>
      <c r="F146" s="5">
        <f t="shared" ca="1" si="27"/>
        <v>0</v>
      </c>
      <c r="G146" s="5">
        <f t="shared" ca="1" si="22"/>
        <v>269</v>
      </c>
      <c r="H146" s="5">
        <f t="shared" ca="1" si="28"/>
        <v>0</v>
      </c>
      <c r="I146" s="5">
        <f t="shared" ca="1" si="29"/>
        <v>269</v>
      </c>
      <c r="J146" s="5">
        <f t="shared" ca="1" si="30"/>
        <v>11</v>
      </c>
      <c r="K146" s="5">
        <f t="shared" ca="1" si="31"/>
        <v>0</v>
      </c>
      <c r="L146" s="5">
        <f t="shared" ca="1" si="23"/>
        <v>269</v>
      </c>
      <c r="M146" s="11">
        <f t="shared" ca="1" si="32"/>
        <v>1</v>
      </c>
    </row>
    <row r="147" spans="2:13" x14ac:dyDescent="0.25">
      <c r="B147" s="2">
        <v>140</v>
      </c>
      <c r="C147" s="5">
        <f t="shared" ca="1" si="24"/>
        <v>11</v>
      </c>
      <c r="D147" s="5">
        <f t="shared" ca="1" si="25"/>
        <v>269</v>
      </c>
      <c r="E147" s="5">
        <f t="shared" ca="1" si="26"/>
        <v>280</v>
      </c>
      <c r="F147" s="5">
        <f t="shared" ca="1" si="27"/>
        <v>0</v>
      </c>
      <c r="G147" s="5">
        <f t="shared" ca="1" si="22"/>
        <v>239</v>
      </c>
      <c r="H147" s="5">
        <f t="shared" ca="1" si="28"/>
        <v>0</v>
      </c>
      <c r="I147" s="5">
        <f t="shared" ca="1" si="29"/>
        <v>239</v>
      </c>
      <c r="J147" s="5">
        <f t="shared" ca="1" si="30"/>
        <v>41</v>
      </c>
      <c r="K147" s="5">
        <f t="shared" ca="1" si="31"/>
        <v>0</v>
      </c>
      <c r="L147" s="5">
        <f t="shared" ca="1" si="23"/>
        <v>239</v>
      </c>
      <c r="M147" s="11">
        <f t="shared" ca="1" si="32"/>
        <v>1</v>
      </c>
    </row>
    <row r="148" spans="2:13" x14ac:dyDescent="0.25">
      <c r="B148" s="2">
        <v>141</v>
      </c>
      <c r="C148" s="5">
        <f t="shared" ca="1" si="24"/>
        <v>41</v>
      </c>
      <c r="D148" s="5">
        <f t="shared" ca="1" si="25"/>
        <v>239</v>
      </c>
      <c r="E148" s="5">
        <f t="shared" ca="1" si="26"/>
        <v>280</v>
      </c>
      <c r="F148" s="5">
        <f t="shared" ca="1" si="27"/>
        <v>0</v>
      </c>
      <c r="G148" s="5">
        <f t="shared" ca="1" si="22"/>
        <v>196</v>
      </c>
      <c r="H148" s="5">
        <f t="shared" ca="1" si="28"/>
        <v>0</v>
      </c>
      <c r="I148" s="5">
        <f t="shared" ca="1" si="29"/>
        <v>196</v>
      </c>
      <c r="J148" s="5">
        <f t="shared" ca="1" si="30"/>
        <v>84</v>
      </c>
      <c r="K148" s="5">
        <f t="shared" ca="1" si="31"/>
        <v>0</v>
      </c>
      <c r="L148" s="5">
        <f t="shared" ca="1" si="23"/>
        <v>196</v>
      </c>
      <c r="M148" s="11">
        <f t="shared" ca="1" si="32"/>
        <v>1</v>
      </c>
    </row>
    <row r="149" spans="2:13" x14ac:dyDescent="0.25">
      <c r="B149" s="2">
        <v>142</v>
      </c>
      <c r="C149" s="5">
        <f t="shared" ca="1" si="24"/>
        <v>84</v>
      </c>
      <c r="D149" s="5">
        <f t="shared" ca="1" si="25"/>
        <v>196</v>
      </c>
      <c r="E149" s="5">
        <f t="shared" ca="1" si="26"/>
        <v>280</v>
      </c>
      <c r="F149" s="5">
        <f t="shared" ca="1" si="27"/>
        <v>0</v>
      </c>
      <c r="G149" s="5">
        <f t="shared" ca="1" si="22"/>
        <v>193</v>
      </c>
      <c r="H149" s="5">
        <f t="shared" ca="1" si="28"/>
        <v>0</v>
      </c>
      <c r="I149" s="5">
        <f t="shared" ca="1" si="29"/>
        <v>193</v>
      </c>
      <c r="J149" s="5">
        <f t="shared" ca="1" si="30"/>
        <v>87</v>
      </c>
      <c r="K149" s="5">
        <f t="shared" ca="1" si="31"/>
        <v>0</v>
      </c>
      <c r="L149" s="5">
        <f t="shared" ca="1" si="23"/>
        <v>193</v>
      </c>
      <c r="M149" s="11">
        <f t="shared" ca="1" si="32"/>
        <v>1</v>
      </c>
    </row>
    <row r="150" spans="2:13" x14ac:dyDescent="0.25">
      <c r="B150" s="2">
        <v>143</v>
      </c>
      <c r="C150" s="5">
        <f t="shared" ca="1" si="24"/>
        <v>87</v>
      </c>
      <c r="D150" s="5">
        <f t="shared" ca="1" si="25"/>
        <v>193</v>
      </c>
      <c r="E150" s="5">
        <f t="shared" ca="1" si="26"/>
        <v>280</v>
      </c>
      <c r="F150" s="5">
        <f t="shared" ca="1" si="27"/>
        <v>0</v>
      </c>
      <c r="G150" s="5">
        <f t="shared" ca="1" si="22"/>
        <v>218</v>
      </c>
      <c r="H150" s="5">
        <f t="shared" ca="1" si="28"/>
        <v>0</v>
      </c>
      <c r="I150" s="5">
        <f t="shared" ca="1" si="29"/>
        <v>218</v>
      </c>
      <c r="J150" s="5">
        <f t="shared" ca="1" si="30"/>
        <v>62</v>
      </c>
      <c r="K150" s="5">
        <f t="shared" ca="1" si="31"/>
        <v>0</v>
      </c>
      <c r="L150" s="5">
        <f t="shared" ca="1" si="23"/>
        <v>218</v>
      </c>
      <c r="M150" s="11">
        <f t="shared" ca="1" si="32"/>
        <v>1</v>
      </c>
    </row>
    <row r="151" spans="2:13" x14ac:dyDescent="0.25">
      <c r="B151" s="2">
        <v>144</v>
      </c>
      <c r="C151" s="5">
        <f t="shared" ca="1" si="24"/>
        <v>62</v>
      </c>
      <c r="D151" s="5">
        <f t="shared" ca="1" si="25"/>
        <v>218</v>
      </c>
      <c r="E151" s="5">
        <f t="shared" ca="1" si="26"/>
        <v>280</v>
      </c>
      <c r="F151" s="5">
        <f t="shared" ca="1" si="27"/>
        <v>0</v>
      </c>
      <c r="G151" s="5">
        <f t="shared" ca="1" si="22"/>
        <v>286</v>
      </c>
      <c r="H151" s="5">
        <f t="shared" ca="1" si="28"/>
        <v>0</v>
      </c>
      <c r="I151" s="5">
        <f t="shared" ca="1" si="29"/>
        <v>280</v>
      </c>
      <c r="J151" s="5">
        <f t="shared" ca="1" si="30"/>
        <v>0</v>
      </c>
      <c r="K151" s="5">
        <f t="shared" ca="1" si="31"/>
        <v>6</v>
      </c>
      <c r="L151" s="5">
        <f t="shared" ca="1" si="23"/>
        <v>286</v>
      </c>
      <c r="M151" s="11">
        <f t="shared" ca="1" si="32"/>
        <v>0.97902097902097907</v>
      </c>
    </row>
    <row r="152" spans="2:13" x14ac:dyDescent="0.25">
      <c r="B152" s="2">
        <v>145</v>
      </c>
      <c r="C152" s="5">
        <f t="shared" ca="1" si="24"/>
        <v>0</v>
      </c>
      <c r="D152" s="5">
        <f t="shared" ca="1" si="25"/>
        <v>286</v>
      </c>
      <c r="E152" s="5">
        <f t="shared" ca="1" si="26"/>
        <v>286</v>
      </c>
      <c r="F152" s="5">
        <f t="shared" ca="1" si="27"/>
        <v>6</v>
      </c>
      <c r="G152" s="5">
        <f t="shared" ca="1" si="22"/>
        <v>218</v>
      </c>
      <c r="H152" s="5">
        <f t="shared" ca="1" si="28"/>
        <v>6</v>
      </c>
      <c r="I152" s="5">
        <f t="shared" ca="1" si="29"/>
        <v>218</v>
      </c>
      <c r="J152" s="5">
        <f t="shared" ca="1" si="30"/>
        <v>62</v>
      </c>
      <c r="K152" s="5">
        <f t="shared" ca="1" si="31"/>
        <v>0</v>
      </c>
      <c r="L152" s="5">
        <f t="shared" ca="1" si="23"/>
        <v>218</v>
      </c>
      <c r="M152" s="11">
        <f t="shared" ca="1" si="32"/>
        <v>1</v>
      </c>
    </row>
    <row r="153" spans="2:13" x14ac:dyDescent="0.25">
      <c r="B153" s="2">
        <v>146</v>
      </c>
      <c r="C153" s="5">
        <f t="shared" ca="1" si="24"/>
        <v>62</v>
      </c>
      <c r="D153" s="5">
        <f t="shared" ca="1" si="25"/>
        <v>218</v>
      </c>
      <c r="E153" s="5">
        <f t="shared" ca="1" si="26"/>
        <v>280</v>
      </c>
      <c r="F153" s="5">
        <f t="shared" ca="1" si="27"/>
        <v>0</v>
      </c>
      <c r="G153" s="5">
        <f t="shared" ca="1" si="22"/>
        <v>247</v>
      </c>
      <c r="H153" s="5">
        <f t="shared" ca="1" si="28"/>
        <v>0</v>
      </c>
      <c r="I153" s="5">
        <f t="shared" ca="1" si="29"/>
        <v>247</v>
      </c>
      <c r="J153" s="5">
        <f t="shared" ca="1" si="30"/>
        <v>33</v>
      </c>
      <c r="K153" s="5">
        <f t="shared" ca="1" si="31"/>
        <v>0</v>
      </c>
      <c r="L153" s="5">
        <f t="shared" ca="1" si="23"/>
        <v>247</v>
      </c>
      <c r="M153" s="11">
        <f t="shared" ca="1" si="32"/>
        <v>1</v>
      </c>
    </row>
    <row r="154" spans="2:13" x14ac:dyDescent="0.25">
      <c r="B154" s="2">
        <v>147</v>
      </c>
      <c r="C154" s="5">
        <f t="shared" ca="1" si="24"/>
        <v>33</v>
      </c>
      <c r="D154" s="5">
        <f t="shared" ca="1" si="25"/>
        <v>247</v>
      </c>
      <c r="E154" s="5">
        <f t="shared" ca="1" si="26"/>
        <v>280</v>
      </c>
      <c r="F154" s="5">
        <f t="shared" ca="1" si="27"/>
        <v>0</v>
      </c>
      <c r="G154" s="5">
        <f t="shared" ca="1" si="22"/>
        <v>132</v>
      </c>
      <c r="H154" s="5">
        <f t="shared" ca="1" si="28"/>
        <v>0</v>
      </c>
      <c r="I154" s="5">
        <f t="shared" ca="1" si="29"/>
        <v>132</v>
      </c>
      <c r="J154" s="5">
        <f t="shared" ca="1" si="30"/>
        <v>148</v>
      </c>
      <c r="K154" s="5">
        <f t="shared" ca="1" si="31"/>
        <v>0</v>
      </c>
      <c r="L154" s="5">
        <f t="shared" ca="1" si="23"/>
        <v>132</v>
      </c>
      <c r="M154" s="11">
        <f t="shared" ca="1" si="32"/>
        <v>1</v>
      </c>
    </row>
    <row r="155" spans="2:13" x14ac:dyDescent="0.25">
      <c r="B155" s="2">
        <v>148</v>
      </c>
      <c r="C155" s="5">
        <f t="shared" ca="1" si="24"/>
        <v>148</v>
      </c>
      <c r="D155" s="5">
        <f t="shared" ca="1" si="25"/>
        <v>132</v>
      </c>
      <c r="E155" s="5">
        <f t="shared" ca="1" si="26"/>
        <v>280</v>
      </c>
      <c r="F155" s="5">
        <f t="shared" ca="1" si="27"/>
        <v>0</v>
      </c>
      <c r="G155" s="5">
        <f t="shared" ca="1" si="22"/>
        <v>222</v>
      </c>
      <c r="H155" s="5">
        <f t="shared" ca="1" si="28"/>
        <v>0</v>
      </c>
      <c r="I155" s="5">
        <f t="shared" ca="1" si="29"/>
        <v>222</v>
      </c>
      <c r="J155" s="5">
        <f t="shared" ca="1" si="30"/>
        <v>58</v>
      </c>
      <c r="K155" s="5">
        <f t="shared" ca="1" si="31"/>
        <v>0</v>
      </c>
      <c r="L155" s="5">
        <f t="shared" ca="1" si="23"/>
        <v>222</v>
      </c>
      <c r="M155" s="11">
        <f t="shared" ca="1" si="32"/>
        <v>1</v>
      </c>
    </row>
    <row r="156" spans="2:13" x14ac:dyDescent="0.25">
      <c r="B156" s="2">
        <v>149</v>
      </c>
      <c r="C156" s="5">
        <f t="shared" ca="1" si="24"/>
        <v>58</v>
      </c>
      <c r="D156" s="5">
        <f t="shared" ca="1" si="25"/>
        <v>222</v>
      </c>
      <c r="E156" s="5">
        <f t="shared" ca="1" si="26"/>
        <v>280</v>
      </c>
      <c r="F156" s="5">
        <f t="shared" ca="1" si="27"/>
        <v>0</v>
      </c>
      <c r="G156" s="5">
        <f t="shared" ca="1" si="22"/>
        <v>148</v>
      </c>
      <c r="H156" s="5">
        <f t="shared" ca="1" si="28"/>
        <v>0</v>
      </c>
      <c r="I156" s="5">
        <f t="shared" ca="1" si="29"/>
        <v>148</v>
      </c>
      <c r="J156" s="5">
        <f t="shared" ca="1" si="30"/>
        <v>132</v>
      </c>
      <c r="K156" s="5">
        <f t="shared" ca="1" si="31"/>
        <v>0</v>
      </c>
      <c r="L156" s="5">
        <f t="shared" ca="1" si="23"/>
        <v>148</v>
      </c>
      <c r="M156" s="11">
        <f t="shared" ca="1" si="32"/>
        <v>1</v>
      </c>
    </row>
    <row r="157" spans="2:13" x14ac:dyDescent="0.25">
      <c r="B157" s="2">
        <v>150</v>
      </c>
      <c r="C157" s="5">
        <f t="shared" ca="1" si="24"/>
        <v>132</v>
      </c>
      <c r="D157" s="5">
        <f t="shared" ca="1" si="25"/>
        <v>148</v>
      </c>
      <c r="E157" s="5">
        <f t="shared" ca="1" si="26"/>
        <v>280</v>
      </c>
      <c r="F157" s="5">
        <f t="shared" ca="1" si="27"/>
        <v>0</v>
      </c>
      <c r="G157" s="5">
        <f t="shared" ca="1" si="22"/>
        <v>175</v>
      </c>
      <c r="H157" s="5">
        <f t="shared" ca="1" si="28"/>
        <v>0</v>
      </c>
      <c r="I157" s="5">
        <f t="shared" ca="1" si="29"/>
        <v>175</v>
      </c>
      <c r="J157" s="5">
        <f t="shared" ca="1" si="30"/>
        <v>105</v>
      </c>
      <c r="K157" s="5">
        <f t="shared" ca="1" si="31"/>
        <v>0</v>
      </c>
      <c r="L157" s="5">
        <f t="shared" ca="1" si="23"/>
        <v>175</v>
      </c>
      <c r="M157" s="11">
        <f t="shared" ca="1" si="32"/>
        <v>1</v>
      </c>
    </row>
    <row r="158" spans="2:13" x14ac:dyDescent="0.25">
      <c r="B158" s="2">
        <v>151</v>
      </c>
      <c r="C158" s="5">
        <f t="shared" ca="1" si="24"/>
        <v>105</v>
      </c>
      <c r="D158" s="5">
        <f t="shared" ca="1" si="25"/>
        <v>175</v>
      </c>
      <c r="E158" s="5">
        <f t="shared" ca="1" si="26"/>
        <v>280</v>
      </c>
      <c r="F158" s="5">
        <f t="shared" ca="1" si="27"/>
        <v>0</v>
      </c>
      <c r="G158" s="5">
        <f t="shared" ca="1" si="22"/>
        <v>147</v>
      </c>
      <c r="H158" s="5">
        <f t="shared" ca="1" si="28"/>
        <v>0</v>
      </c>
      <c r="I158" s="5">
        <f t="shared" ca="1" si="29"/>
        <v>147</v>
      </c>
      <c r="J158" s="5">
        <f t="shared" ca="1" si="30"/>
        <v>133</v>
      </c>
      <c r="K158" s="5">
        <f t="shared" ca="1" si="31"/>
        <v>0</v>
      </c>
      <c r="L158" s="5">
        <f t="shared" ca="1" si="23"/>
        <v>147</v>
      </c>
      <c r="M158" s="11">
        <f t="shared" ca="1" si="32"/>
        <v>1</v>
      </c>
    </row>
    <row r="159" spans="2:13" x14ac:dyDescent="0.25">
      <c r="B159" s="2">
        <v>152</v>
      </c>
      <c r="C159" s="5">
        <f t="shared" ca="1" si="24"/>
        <v>133</v>
      </c>
      <c r="D159" s="5">
        <f t="shared" ca="1" si="25"/>
        <v>147</v>
      </c>
      <c r="E159" s="5">
        <f t="shared" ca="1" si="26"/>
        <v>280</v>
      </c>
      <c r="F159" s="5">
        <f t="shared" ca="1" si="27"/>
        <v>0</v>
      </c>
      <c r="G159" s="5">
        <f t="shared" ca="1" si="22"/>
        <v>102</v>
      </c>
      <c r="H159" s="5">
        <f t="shared" ca="1" si="28"/>
        <v>0</v>
      </c>
      <c r="I159" s="5">
        <f t="shared" ca="1" si="29"/>
        <v>102</v>
      </c>
      <c r="J159" s="5">
        <f t="shared" ca="1" si="30"/>
        <v>178</v>
      </c>
      <c r="K159" s="5">
        <f t="shared" ca="1" si="31"/>
        <v>0</v>
      </c>
      <c r="L159" s="5">
        <f t="shared" ca="1" si="23"/>
        <v>102</v>
      </c>
      <c r="M159" s="11">
        <f t="shared" ca="1" si="32"/>
        <v>1</v>
      </c>
    </row>
    <row r="160" spans="2:13" x14ac:dyDescent="0.25">
      <c r="B160" s="2">
        <v>153</v>
      </c>
      <c r="C160" s="5">
        <f t="shared" ca="1" si="24"/>
        <v>178</v>
      </c>
      <c r="D160" s="5">
        <f t="shared" ca="1" si="25"/>
        <v>102</v>
      </c>
      <c r="E160" s="5">
        <f t="shared" ca="1" si="26"/>
        <v>280</v>
      </c>
      <c r="F160" s="5">
        <f t="shared" ca="1" si="27"/>
        <v>0</v>
      </c>
      <c r="G160" s="5">
        <f t="shared" ca="1" si="22"/>
        <v>117</v>
      </c>
      <c r="H160" s="5">
        <f t="shared" ca="1" si="28"/>
        <v>0</v>
      </c>
      <c r="I160" s="5">
        <f t="shared" ca="1" si="29"/>
        <v>117</v>
      </c>
      <c r="J160" s="5">
        <f t="shared" ca="1" si="30"/>
        <v>163</v>
      </c>
      <c r="K160" s="5">
        <f t="shared" ca="1" si="31"/>
        <v>0</v>
      </c>
      <c r="L160" s="5">
        <f t="shared" ca="1" si="23"/>
        <v>117</v>
      </c>
      <c r="M160" s="11">
        <f t="shared" ca="1" si="32"/>
        <v>1</v>
      </c>
    </row>
    <row r="161" spans="2:13" x14ac:dyDescent="0.25">
      <c r="B161" s="2">
        <v>154</v>
      </c>
      <c r="C161" s="5">
        <f t="shared" ca="1" si="24"/>
        <v>163</v>
      </c>
      <c r="D161" s="5">
        <f t="shared" ca="1" si="25"/>
        <v>117</v>
      </c>
      <c r="E161" s="5">
        <f t="shared" ca="1" si="26"/>
        <v>280</v>
      </c>
      <c r="F161" s="5">
        <f t="shared" ca="1" si="27"/>
        <v>0</v>
      </c>
      <c r="G161" s="5">
        <f t="shared" ca="1" si="22"/>
        <v>240</v>
      </c>
      <c r="H161" s="5">
        <f t="shared" ca="1" si="28"/>
        <v>0</v>
      </c>
      <c r="I161" s="5">
        <f t="shared" ca="1" si="29"/>
        <v>240</v>
      </c>
      <c r="J161" s="5">
        <f t="shared" ca="1" si="30"/>
        <v>40</v>
      </c>
      <c r="K161" s="5">
        <f t="shared" ca="1" si="31"/>
        <v>0</v>
      </c>
      <c r="L161" s="5">
        <f t="shared" ca="1" si="23"/>
        <v>240</v>
      </c>
      <c r="M161" s="11">
        <f t="shared" ca="1" si="32"/>
        <v>1</v>
      </c>
    </row>
    <row r="162" spans="2:13" x14ac:dyDescent="0.25">
      <c r="B162" s="2">
        <v>155</v>
      </c>
      <c r="C162" s="5">
        <f t="shared" ca="1" si="24"/>
        <v>40</v>
      </c>
      <c r="D162" s="5">
        <f t="shared" ca="1" si="25"/>
        <v>240</v>
      </c>
      <c r="E162" s="5">
        <f t="shared" ca="1" si="26"/>
        <v>280</v>
      </c>
      <c r="F162" s="5">
        <f t="shared" ca="1" si="27"/>
        <v>0</v>
      </c>
      <c r="G162" s="5">
        <f t="shared" ca="1" si="22"/>
        <v>160</v>
      </c>
      <c r="H162" s="5">
        <f t="shared" ca="1" si="28"/>
        <v>0</v>
      </c>
      <c r="I162" s="5">
        <f t="shared" ca="1" si="29"/>
        <v>160</v>
      </c>
      <c r="J162" s="5">
        <f t="shared" ca="1" si="30"/>
        <v>120</v>
      </c>
      <c r="K162" s="5">
        <f t="shared" ca="1" si="31"/>
        <v>0</v>
      </c>
      <c r="L162" s="5">
        <f t="shared" ca="1" si="23"/>
        <v>160</v>
      </c>
      <c r="M162" s="11">
        <f t="shared" ca="1" si="32"/>
        <v>1</v>
      </c>
    </row>
    <row r="163" spans="2:13" x14ac:dyDescent="0.25">
      <c r="B163" s="2">
        <v>156</v>
      </c>
      <c r="C163" s="5">
        <f t="shared" ca="1" si="24"/>
        <v>120</v>
      </c>
      <c r="D163" s="5">
        <f t="shared" ca="1" si="25"/>
        <v>160</v>
      </c>
      <c r="E163" s="5">
        <f t="shared" ca="1" si="26"/>
        <v>280</v>
      </c>
      <c r="F163" s="5">
        <f t="shared" ca="1" si="27"/>
        <v>0</v>
      </c>
      <c r="G163" s="5">
        <f t="shared" ca="1" si="22"/>
        <v>261</v>
      </c>
      <c r="H163" s="5">
        <f t="shared" ca="1" si="28"/>
        <v>0</v>
      </c>
      <c r="I163" s="5">
        <f t="shared" ca="1" si="29"/>
        <v>261</v>
      </c>
      <c r="J163" s="5">
        <f t="shared" ca="1" si="30"/>
        <v>19</v>
      </c>
      <c r="K163" s="5">
        <f t="shared" ca="1" si="31"/>
        <v>0</v>
      </c>
      <c r="L163" s="5">
        <f t="shared" ca="1" si="23"/>
        <v>261</v>
      </c>
      <c r="M163" s="11">
        <f t="shared" ca="1" si="32"/>
        <v>1</v>
      </c>
    </row>
    <row r="164" spans="2:13" x14ac:dyDescent="0.25">
      <c r="B164" s="2">
        <v>157</v>
      </c>
      <c r="C164" s="5">
        <f t="shared" ca="1" si="24"/>
        <v>19</v>
      </c>
      <c r="D164" s="5">
        <f t="shared" ca="1" si="25"/>
        <v>261</v>
      </c>
      <c r="E164" s="5">
        <f t="shared" ca="1" si="26"/>
        <v>280</v>
      </c>
      <c r="F164" s="5">
        <f t="shared" ca="1" si="27"/>
        <v>0</v>
      </c>
      <c r="G164" s="5">
        <f t="shared" ca="1" si="22"/>
        <v>287</v>
      </c>
      <c r="H164" s="5">
        <f t="shared" ca="1" si="28"/>
        <v>0</v>
      </c>
      <c r="I164" s="5">
        <f t="shared" ca="1" si="29"/>
        <v>280</v>
      </c>
      <c r="J164" s="5">
        <f t="shared" ca="1" si="30"/>
        <v>0</v>
      </c>
      <c r="K164" s="5">
        <f t="shared" ca="1" si="31"/>
        <v>7</v>
      </c>
      <c r="L164" s="5">
        <f t="shared" ca="1" si="23"/>
        <v>287</v>
      </c>
      <c r="M164" s="11">
        <f t="shared" ca="1" si="32"/>
        <v>0.97560975609756095</v>
      </c>
    </row>
    <row r="165" spans="2:13" x14ac:dyDescent="0.25">
      <c r="B165" s="2">
        <v>158</v>
      </c>
      <c r="C165" s="5">
        <f t="shared" ca="1" si="24"/>
        <v>0</v>
      </c>
      <c r="D165" s="5">
        <f t="shared" ca="1" si="25"/>
        <v>287</v>
      </c>
      <c r="E165" s="5">
        <f t="shared" ca="1" si="26"/>
        <v>287</v>
      </c>
      <c r="F165" s="5">
        <f t="shared" ca="1" si="27"/>
        <v>7</v>
      </c>
      <c r="G165" s="5">
        <f t="shared" ca="1" si="22"/>
        <v>151</v>
      </c>
      <c r="H165" s="5">
        <f t="shared" ca="1" si="28"/>
        <v>7</v>
      </c>
      <c r="I165" s="5">
        <f t="shared" ca="1" si="29"/>
        <v>151</v>
      </c>
      <c r="J165" s="5">
        <f t="shared" ca="1" si="30"/>
        <v>129</v>
      </c>
      <c r="K165" s="5">
        <f t="shared" ca="1" si="31"/>
        <v>0</v>
      </c>
      <c r="L165" s="5">
        <f t="shared" ca="1" si="23"/>
        <v>151</v>
      </c>
      <c r="M165" s="11">
        <f t="shared" ca="1" si="32"/>
        <v>1</v>
      </c>
    </row>
    <row r="166" spans="2:13" x14ac:dyDescent="0.25">
      <c r="B166" s="2">
        <v>159</v>
      </c>
      <c r="C166" s="5">
        <f t="shared" ca="1" si="24"/>
        <v>129</v>
      </c>
      <c r="D166" s="5">
        <f t="shared" ca="1" si="25"/>
        <v>151</v>
      </c>
      <c r="E166" s="5">
        <f t="shared" ca="1" si="26"/>
        <v>280</v>
      </c>
      <c r="F166" s="5">
        <f t="shared" ca="1" si="27"/>
        <v>0</v>
      </c>
      <c r="G166" s="5">
        <f t="shared" ca="1" si="22"/>
        <v>226</v>
      </c>
      <c r="H166" s="5">
        <f t="shared" ca="1" si="28"/>
        <v>0</v>
      </c>
      <c r="I166" s="5">
        <f t="shared" ca="1" si="29"/>
        <v>226</v>
      </c>
      <c r="J166" s="5">
        <f t="shared" ca="1" si="30"/>
        <v>54</v>
      </c>
      <c r="K166" s="5">
        <f t="shared" ca="1" si="31"/>
        <v>0</v>
      </c>
      <c r="L166" s="5">
        <f t="shared" ca="1" si="23"/>
        <v>226</v>
      </c>
      <c r="M166" s="11">
        <f t="shared" ca="1" si="32"/>
        <v>1</v>
      </c>
    </row>
    <row r="167" spans="2:13" x14ac:dyDescent="0.25">
      <c r="B167" s="2">
        <v>160</v>
      </c>
      <c r="C167" s="5">
        <f t="shared" ca="1" si="24"/>
        <v>54</v>
      </c>
      <c r="D167" s="5">
        <f t="shared" ca="1" si="25"/>
        <v>226</v>
      </c>
      <c r="E167" s="5">
        <f t="shared" ca="1" si="26"/>
        <v>280</v>
      </c>
      <c r="F167" s="5">
        <f t="shared" ca="1" si="27"/>
        <v>0</v>
      </c>
      <c r="G167" s="5">
        <f t="shared" ca="1" si="22"/>
        <v>194</v>
      </c>
      <c r="H167" s="5">
        <f t="shared" ca="1" si="28"/>
        <v>0</v>
      </c>
      <c r="I167" s="5">
        <f t="shared" ca="1" si="29"/>
        <v>194</v>
      </c>
      <c r="J167" s="5">
        <f t="shared" ca="1" si="30"/>
        <v>86</v>
      </c>
      <c r="K167" s="5">
        <f t="shared" ca="1" si="31"/>
        <v>0</v>
      </c>
      <c r="L167" s="5">
        <f t="shared" ca="1" si="23"/>
        <v>194</v>
      </c>
      <c r="M167" s="11">
        <f t="shared" ca="1" si="32"/>
        <v>1</v>
      </c>
    </row>
    <row r="168" spans="2:13" x14ac:dyDescent="0.25">
      <c r="B168" s="2">
        <v>161</v>
      </c>
      <c r="C168" s="5">
        <f t="shared" ca="1" si="24"/>
        <v>86</v>
      </c>
      <c r="D168" s="5">
        <f t="shared" ca="1" si="25"/>
        <v>194</v>
      </c>
      <c r="E168" s="5">
        <f t="shared" ca="1" si="26"/>
        <v>280</v>
      </c>
      <c r="F168" s="5">
        <f t="shared" ca="1" si="27"/>
        <v>0</v>
      </c>
      <c r="G168" s="5">
        <f t="shared" ca="1" si="22"/>
        <v>179</v>
      </c>
      <c r="H168" s="5">
        <f t="shared" ca="1" si="28"/>
        <v>0</v>
      </c>
      <c r="I168" s="5">
        <f t="shared" ca="1" si="29"/>
        <v>179</v>
      </c>
      <c r="J168" s="5">
        <f t="shared" ca="1" si="30"/>
        <v>101</v>
      </c>
      <c r="K168" s="5">
        <f t="shared" ca="1" si="31"/>
        <v>0</v>
      </c>
      <c r="L168" s="5">
        <f t="shared" ca="1" si="23"/>
        <v>179</v>
      </c>
      <c r="M168" s="11">
        <f t="shared" ca="1" si="32"/>
        <v>1</v>
      </c>
    </row>
    <row r="169" spans="2:13" x14ac:dyDescent="0.25">
      <c r="B169" s="2">
        <v>162</v>
      </c>
      <c r="C169" s="5">
        <f t="shared" ca="1" si="24"/>
        <v>101</v>
      </c>
      <c r="D169" s="5">
        <f t="shared" ca="1" si="25"/>
        <v>179</v>
      </c>
      <c r="E169" s="5">
        <f t="shared" ca="1" si="26"/>
        <v>280</v>
      </c>
      <c r="F169" s="5">
        <f t="shared" ca="1" si="27"/>
        <v>0</v>
      </c>
      <c r="G169" s="5">
        <f t="shared" ca="1" si="22"/>
        <v>261</v>
      </c>
      <c r="H169" s="5">
        <f t="shared" ca="1" si="28"/>
        <v>0</v>
      </c>
      <c r="I169" s="5">
        <f t="shared" ca="1" si="29"/>
        <v>261</v>
      </c>
      <c r="J169" s="5">
        <f t="shared" ca="1" si="30"/>
        <v>19</v>
      </c>
      <c r="K169" s="5">
        <f t="shared" ca="1" si="31"/>
        <v>0</v>
      </c>
      <c r="L169" s="5">
        <f t="shared" ca="1" si="23"/>
        <v>261</v>
      </c>
      <c r="M169" s="11">
        <f t="shared" ca="1" si="32"/>
        <v>1</v>
      </c>
    </row>
    <row r="170" spans="2:13" x14ac:dyDescent="0.25">
      <c r="B170" s="2">
        <v>163</v>
      </c>
      <c r="C170" s="5">
        <f t="shared" ca="1" si="24"/>
        <v>19</v>
      </c>
      <c r="D170" s="5">
        <f t="shared" ca="1" si="25"/>
        <v>261</v>
      </c>
      <c r="E170" s="5">
        <f t="shared" ca="1" si="26"/>
        <v>280</v>
      </c>
      <c r="F170" s="5">
        <f t="shared" ca="1" si="27"/>
        <v>0</v>
      </c>
      <c r="G170" s="5">
        <f t="shared" ca="1" si="22"/>
        <v>154</v>
      </c>
      <c r="H170" s="5">
        <f t="shared" ca="1" si="28"/>
        <v>0</v>
      </c>
      <c r="I170" s="5">
        <f t="shared" ca="1" si="29"/>
        <v>154</v>
      </c>
      <c r="J170" s="5">
        <f t="shared" ca="1" si="30"/>
        <v>126</v>
      </c>
      <c r="K170" s="5">
        <f t="shared" ca="1" si="31"/>
        <v>0</v>
      </c>
      <c r="L170" s="5">
        <f t="shared" ca="1" si="23"/>
        <v>154</v>
      </c>
      <c r="M170" s="11">
        <f t="shared" ca="1" si="32"/>
        <v>1</v>
      </c>
    </row>
    <row r="171" spans="2:13" x14ac:dyDescent="0.25">
      <c r="B171" s="2">
        <v>164</v>
      </c>
      <c r="C171" s="5">
        <f t="shared" ca="1" si="24"/>
        <v>126</v>
      </c>
      <c r="D171" s="5">
        <f t="shared" ca="1" si="25"/>
        <v>154</v>
      </c>
      <c r="E171" s="5">
        <f t="shared" ca="1" si="26"/>
        <v>280</v>
      </c>
      <c r="F171" s="5">
        <f t="shared" ca="1" si="27"/>
        <v>0</v>
      </c>
      <c r="G171" s="5">
        <f t="shared" ca="1" si="22"/>
        <v>294</v>
      </c>
      <c r="H171" s="5">
        <f t="shared" ca="1" si="28"/>
        <v>0</v>
      </c>
      <c r="I171" s="5">
        <f t="shared" ca="1" si="29"/>
        <v>280</v>
      </c>
      <c r="J171" s="5">
        <f t="shared" ca="1" si="30"/>
        <v>0</v>
      </c>
      <c r="K171" s="5">
        <f t="shared" ca="1" si="31"/>
        <v>14</v>
      </c>
      <c r="L171" s="5">
        <f t="shared" ca="1" si="23"/>
        <v>294</v>
      </c>
      <c r="M171" s="11">
        <f t="shared" ca="1" si="32"/>
        <v>0.95238095238095233</v>
      </c>
    </row>
    <row r="172" spans="2:13" x14ac:dyDescent="0.25">
      <c r="B172" s="2">
        <v>165</v>
      </c>
      <c r="C172" s="5">
        <f t="shared" ca="1" si="24"/>
        <v>0</v>
      </c>
      <c r="D172" s="5">
        <f t="shared" ca="1" si="25"/>
        <v>294</v>
      </c>
      <c r="E172" s="5">
        <f t="shared" ca="1" si="26"/>
        <v>294</v>
      </c>
      <c r="F172" s="5">
        <f t="shared" ca="1" si="27"/>
        <v>14</v>
      </c>
      <c r="G172" s="5">
        <f t="shared" ca="1" si="22"/>
        <v>232</v>
      </c>
      <c r="H172" s="5">
        <f t="shared" ca="1" si="28"/>
        <v>14</v>
      </c>
      <c r="I172" s="5">
        <f t="shared" ca="1" si="29"/>
        <v>232</v>
      </c>
      <c r="J172" s="5">
        <f t="shared" ca="1" si="30"/>
        <v>48</v>
      </c>
      <c r="K172" s="5">
        <f t="shared" ca="1" si="31"/>
        <v>0</v>
      </c>
      <c r="L172" s="5">
        <f t="shared" ca="1" si="23"/>
        <v>232</v>
      </c>
      <c r="M172" s="11">
        <f t="shared" ca="1" si="32"/>
        <v>1</v>
      </c>
    </row>
    <row r="173" spans="2:13" x14ac:dyDescent="0.25">
      <c r="B173" s="2">
        <v>166</v>
      </c>
      <c r="C173" s="5">
        <f t="shared" ca="1" si="24"/>
        <v>48</v>
      </c>
      <c r="D173" s="5">
        <f t="shared" ca="1" si="25"/>
        <v>232</v>
      </c>
      <c r="E173" s="5">
        <f t="shared" ca="1" si="26"/>
        <v>280</v>
      </c>
      <c r="F173" s="5">
        <f t="shared" ca="1" si="27"/>
        <v>0</v>
      </c>
      <c r="G173" s="5">
        <f t="shared" ca="1" si="22"/>
        <v>127</v>
      </c>
      <c r="H173" s="5">
        <f t="shared" ca="1" si="28"/>
        <v>0</v>
      </c>
      <c r="I173" s="5">
        <f t="shared" ca="1" si="29"/>
        <v>127</v>
      </c>
      <c r="J173" s="5">
        <f t="shared" ca="1" si="30"/>
        <v>153</v>
      </c>
      <c r="K173" s="5">
        <f t="shared" ca="1" si="31"/>
        <v>0</v>
      </c>
      <c r="L173" s="5">
        <f t="shared" ca="1" si="23"/>
        <v>127</v>
      </c>
      <c r="M173" s="11">
        <f t="shared" ca="1" si="32"/>
        <v>1</v>
      </c>
    </row>
    <row r="174" spans="2:13" x14ac:dyDescent="0.25">
      <c r="B174" s="2">
        <v>167</v>
      </c>
      <c r="C174" s="5">
        <f t="shared" ca="1" si="24"/>
        <v>153</v>
      </c>
      <c r="D174" s="5">
        <f t="shared" ca="1" si="25"/>
        <v>127</v>
      </c>
      <c r="E174" s="5">
        <f t="shared" ca="1" si="26"/>
        <v>280</v>
      </c>
      <c r="F174" s="5">
        <f t="shared" ca="1" si="27"/>
        <v>0</v>
      </c>
      <c r="G174" s="5">
        <f t="shared" ca="1" si="22"/>
        <v>106</v>
      </c>
      <c r="H174" s="5">
        <f t="shared" ca="1" si="28"/>
        <v>0</v>
      </c>
      <c r="I174" s="5">
        <f t="shared" ca="1" si="29"/>
        <v>106</v>
      </c>
      <c r="J174" s="5">
        <f t="shared" ca="1" si="30"/>
        <v>174</v>
      </c>
      <c r="K174" s="5">
        <f t="shared" ca="1" si="31"/>
        <v>0</v>
      </c>
      <c r="L174" s="5">
        <f t="shared" ca="1" si="23"/>
        <v>106</v>
      </c>
      <c r="M174" s="11">
        <f t="shared" ca="1" si="32"/>
        <v>1</v>
      </c>
    </row>
    <row r="175" spans="2:13" x14ac:dyDescent="0.25">
      <c r="B175" s="2">
        <v>168</v>
      </c>
      <c r="C175" s="5">
        <f t="shared" ca="1" si="24"/>
        <v>174</v>
      </c>
      <c r="D175" s="5">
        <f t="shared" ca="1" si="25"/>
        <v>106</v>
      </c>
      <c r="E175" s="5">
        <f t="shared" ca="1" si="26"/>
        <v>280</v>
      </c>
      <c r="F175" s="5">
        <f t="shared" ca="1" si="27"/>
        <v>0</v>
      </c>
      <c r="G175" s="5">
        <f t="shared" ca="1" si="22"/>
        <v>126</v>
      </c>
      <c r="H175" s="5">
        <f t="shared" ca="1" si="28"/>
        <v>0</v>
      </c>
      <c r="I175" s="5">
        <f t="shared" ca="1" si="29"/>
        <v>126</v>
      </c>
      <c r="J175" s="5">
        <f t="shared" ca="1" si="30"/>
        <v>154</v>
      </c>
      <c r="K175" s="5">
        <f t="shared" ca="1" si="31"/>
        <v>0</v>
      </c>
      <c r="L175" s="5">
        <f t="shared" ca="1" si="23"/>
        <v>126</v>
      </c>
      <c r="M175" s="11">
        <f t="shared" ca="1" si="32"/>
        <v>1</v>
      </c>
    </row>
    <row r="176" spans="2:13" x14ac:dyDescent="0.25">
      <c r="B176" s="2">
        <v>169</v>
      </c>
      <c r="C176" s="5">
        <f t="shared" ca="1" si="24"/>
        <v>154</v>
      </c>
      <c r="D176" s="5">
        <f t="shared" ca="1" si="25"/>
        <v>126</v>
      </c>
      <c r="E176" s="5">
        <f t="shared" ca="1" si="26"/>
        <v>280</v>
      </c>
      <c r="F176" s="5">
        <f t="shared" ca="1" si="27"/>
        <v>0</v>
      </c>
      <c r="G176" s="5">
        <f t="shared" ca="1" si="22"/>
        <v>225</v>
      </c>
      <c r="H176" s="5">
        <f t="shared" ca="1" si="28"/>
        <v>0</v>
      </c>
      <c r="I176" s="5">
        <f t="shared" ca="1" si="29"/>
        <v>225</v>
      </c>
      <c r="J176" s="5">
        <f t="shared" ca="1" si="30"/>
        <v>55</v>
      </c>
      <c r="K176" s="5">
        <f t="shared" ca="1" si="31"/>
        <v>0</v>
      </c>
      <c r="L176" s="5">
        <f t="shared" ca="1" si="23"/>
        <v>225</v>
      </c>
      <c r="M176" s="11">
        <f t="shared" ca="1" si="32"/>
        <v>1</v>
      </c>
    </row>
    <row r="177" spans="2:13" x14ac:dyDescent="0.25">
      <c r="B177" s="2">
        <v>170</v>
      </c>
      <c r="C177" s="5">
        <f t="shared" ca="1" si="24"/>
        <v>55</v>
      </c>
      <c r="D177" s="5">
        <f t="shared" ca="1" si="25"/>
        <v>225</v>
      </c>
      <c r="E177" s="5">
        <f t="shared" ca="1" si="26"/>
        <v>280</v>
      </c>
      <c r="F177" s="5">
        <f t="shared" ca="1" si="27"/>
        <v>0</v>
      </c>
      <c r="G177" s="5">
        <f t="shared" ca="1" si="22"/>
        <v>155</v>
      </c>
      <c r="H177" s="5">
        <f t="shared" ca="1" si="28"/>
        <v>0</v>
      </c>
      <c r="I177" s="5">
        <f t="shared" ca="1" si="29"/>
        <v>155</v>
      </c>
      <c r="J177" s="5">
        <f t="shared" ca="1" si="30"/>
        <v>125</v>
      </c>
      <c r="K177" s="5">
        <f t="shared" ca="1" si="31"/>
        <v>0</v>
      </c>
      <c r="L177" s="5">
        <f t="shared" ca="1" si="23"/>
        <v>155</v>
      </c>
      <c r="M177" s="11">
        <f t="shared" ca="1" si="32"/>
        <v>1</v>
      </c>
    </row>
    <row r="178" spans="2:13" x14ac:dyDescent="0.25">
      <c r="B178" s="2">
        <v>171</v>
      </c>
      <c r="C178" s="5">
        <f t="shared" ca="1" si="24"/>
        <v>125</v>
      </c>
      <c r="D178" s="5">
        <f t="shared" ca="1" si="25"/>
        <v>155</v>
      </c>
      <c r="E178" s="5">
        <f t="shared" ca="1" si="26"/>
        <v>280</v>
      </c>
      <c r="F178" s="5">
        <f t="shared" ca="1" si="27"/>
        <v>0</v>
      </c>
      <c r="G178" s="5">
        <f t="shared" ca="1" si="22"/>
        <v>133</v>
      </c>
      <c r="H178" s="5">
        <f t="shared" ca="1" si="28"/>
        <v>0</v>
      </c>
      <c r="I178" s="5">
        <f t="shared" ca="1" si="29"/>
        <v>133</v>
      </c>
      <c r="J178" s="5">
        <f t="shared" ca="1" si="30"/>
        <v>147</v>
      </c>
      <c r="K178" s="5">
        <f t="shared" ca="1" si="31"/>
        <v>0</v>
      </c>
      <c r="L178" s="5">
        <f t="shared" ca="1" si="23"/>
        <v>133</v>
      </c>
      <c r="M178" s="11">
        <f t="shared" ca="1" si="32"/>
        <v>1</v>
      </c>
    </row>
    <row r="179" spans="2:13" x14ac:dyDescent="0.25">
      <c r="B179" s="2">
        <v>172</v>
      </c>
      <c r="C179" s="5">
        <f t="shared" ca="1" si="24"/>
        <v>147</v>
      </c>
      <c r="D179" s="5">
        <f t="shared" ca="1" si="25"/>
        <v>133</v>
      </c>
      <c r="E179" s="5">
        <f t="shared" ca="1" si="26"/>
        <v>280</v>
      </c>
      <c r="F179" s="5">
        <f t="shared" ca="1" si="27"/>
        <v>0</v>
      </c>
      <c r="G179" s="5">
        <f t="shared" ca="1" si="22"/>
        <v>104</v>
      </c>
      <c r="H179" s="5">
        <f t="shared" ca="1" si="28"/>
        <v>0</v>
      </c>
      <c r="I179" s="5">
        <f t="shared" ca="1" si="29"/>
        <v>104</v>
      </c>
      <c r="J179" s="5">
        <f t="shared" ca="1" si="30"/>
        <v>176</v>
      </c>
      <c r="K179" s="5">
        <f t="shared" ca="1" si="31"/>
        <v>0</v>
      </c>
      <c r="L179" s="5">
        <f t="shared" ca="1" si="23"/>
        <v>104</v>
      </c>
      <c r="M179" s="11">
        <f t="shared" ca="1" si="32"/>
        <v>1</v>
      </c>
    </row>
    <row r="180" spans="2:13" x14ac:dyDescent="0.25">
      <c r="B180" s="2">
        <v>173</v>
      </c>
      <c r="C180" s="5">
        <f t="shared" ca="1" si="24"/>
        <v>176</v>
      </c>
      <c r="D180" s="5">
        <f t="shared" ca="1" si="25"/>
        <v>104</v>
      </c>
      <c r="E180" s="5">
        <f t="shared" ca="1" si="26"/>
        <v>280</v>
      </c>
      <c r="F180" s="5">
        <f t="shared" ca="1" si="27"/>
        <v>0</v>
      </c>
      <c r="G180" s="5">
        <f t="shared" ca="1" si="22"/>
        <v>112</v>
      </c>
      <c r="H180" s="5">
        <f t="shared" ca="1" si="28"/>
        <v>0</v>
      </c>
      <c r="I180" s="5">
        <f t="shared" ca="1" si="29"/>
        <v>112</v>
      </c>
      <c r="J180" s="5">
        <f t="shared" ca="1" si="30"/>
        <v>168</v>
      </c>
      <c r="K180" s="5">
        <f t="shared" ca="1" si="31"/>
        <v>0</v>
      </c>
      <c r="L180" s="5">
        <f t="shared" ca="1" si="23"/>
        <v>112</v>
      </c>
      <c r="M180" s="11">
        <f t="shared" ca="1" si="32"/>
        <v>1</v>
      </c>
    </row>
    <row r="181" spans="2:13" x14ac:dyDescent="0.25">
      <c r="B181" s="2">
        <v>174</v>
      </c>
      <c r="C181" s="5">
        <f t="shared" ca="1" si="24"/>
        <v>168</v>
      </c>
      <c r="D181" s="5">
        <f t="shared" ca="1" si="25"/>
        <v>112</v>
      </c>
      <c r="E181" s="5">
        <f t="shared" ca="1" si="26"/>
        <v>280</v>
      </c>
      <c r="F181" s="5">
        <f t="shared" ca="1" si="27"/>
        <v>0</v>
      </c>
      <c r="G181" s="5">
        <f t="shared" ca="1" si="22"/>
        <v>212</v>
      </c>
      <c r="H181" s="5">
        <f t="shared" ca="1" si="28"/>
        <v>0</v>
      </c>
      <c r="I181" s="5">
        <f t="shared" ca="1" si="29"/>
        <v>212</v>
      </c>
      <c r="J181" s="5">
        <f t="shared" ca="1" si="30"/>
        <v>68</v>
      </c>
      <c r="K181" s="5">
        <f t="shared" ca="1" si="31"/>
        <v>0</v>
      </c>
      <c r="L181" s="5">
        <f t="shared" ca="1" si="23"/>
        <v>212</v>
      </c>
      <c r="M181" s="11">
        <f t="shared" ca="1" si="32"/>
        <v>1</v>
      </c>
    </row>
    <row r="182" spans="2:13" x14ac:dyDescent="0.25">
      <c r="B182" s="2">
        <v>175</v>
      </c>
      <c r="C182" s="5">
        <f t="shared" ca="1" si="24"/>
        <v>68</v>
      </c>
      <c r="D182" s="5">
        <f t="shared" ca="1" si="25"/>
        <v>212</v>
      </c>
      <c r="E182" s="5">
        <f t="shared" ca="1" si="26"/>
        <v>280</v>
      </c>
      <c r="F182" s="5">
        <f t="shared" ca="1" si="27"/>
        <v>0</v>
      </c>
      <c r="G182" s="5">
        <f t="shared" ca="1" si="22"/>
        <v>138</v>
      </c>
      <c r="H182" s="5">
        <f t="shared" ca="1" si="28"/>
        <v>0</v>
      </c>
      <c r="I182" s="5">
        <f t="shared" ca="1" si="29"/>
        <v>138</v>
      </c>
      <c r="J182" s="5">
        <f t="shared" ca="1" si="30"/>
        <v>142</v>
      </c>
      <c r="K182" s="5">
        <f t="shared" ca="1" si="31"/>
        <v>0</v>
      </c>
      <c r="L182" s="5">
        <f t="shared" ca="1" si="23"/>
        <v>138</v>
      </c>
      <c r="M182" s="11">
        <f t="shared" ca="1" si="32"/>
        <v>1</v>
      </c>
    </row>
    <row r="183" spans="2:13" x14ac:dyDescent="0.25">
      <c r="B183" s="2">
        <v>176</v>
      </c>
      <c r="C183" s="5">
        <f t="shared" ca="1" si="24"/>
        <v>142</v>
      </c>
      <c r="D183" s="5">
        <f t="shared" ca="1" si="25"/>
        <v>138</v>
      </c>
      <c r="E183" s="5">
        <f t="shared" ca="1" si="26"/>
        <v>280</v>
      </c>
      <c r="F183" s="5">
        <f t="shared" ca="1" si="27"/>
        <v>0</v>
      </c>
      <c r="G183" s="5">
        <f t="shared" ca="1" si="22"/>
        <v>286</v>
      </c>
      <c r="H183" s="5">
        <f t="shared" ca="1" si="28"/>
        <v>0</v>
      </c>
      <c r="I183" s="5">
        <f t="shared" ca="1" si="29"/>
        <v>280</v>
      </c>
      <c r="J183" s="5">
        <f t="shared" ca="1" si="30"/>
        <v>0</v>
      </c>
      <c r="K183" s="5">
        <f t="shared" ca="1" si="31"/>
        <v>6</v>
      </c>
      <c r="L183" s="5">
        <f t="shared" ca="1" si="23"/>
        <v>286</v>
      </c>
      <c r="M183" s="11">
        <f t="shared" ca="1" si="32"/>
        <v>0.97902097902097907</v>
      </c>
    </row>
    <row r="184" spans="2:13" x14ac:dyDescent="0.25">
      <c r="B184" s="2">
        <v>177</v>
      </c>
      <c r="C184" s="5">
        <f t="shared" ca="1" si="24"/>
        <v>0</v>
      </c>
      <c r="D184" s="5">
        <f t="shared" ca="1" si="25"/>
        <v>286</v>
      </c>
      <c r="E184" s="5">
        <f t="shared" ca="1" si="26"/>
        <v>286</v>
      </c>
      <c r="F184" s="5">
        <f t="shared" ca="1" si="27"/>
        <v>6</v>
      </c>
      <c r="G184" s="5">
        <f t="shared" ca="1" si="22"/>
        <v>270</v>
      </c>
      <c r="H184" s="5">
        <f t="shared" ca="1" si="28"/>
        <v>6</v>
      </c>
      <c r="I184" s="5">
        <f t="shared" ca="1" si="29"/>
        <v>270</v>
      </c>
      <c r="J184" s="5">
        <f t="shared" ca="1" si="30"/>
        <v>10</v>
      </c>
      <c r="K184" s="5">
        <f t="shared" ca="1" si="31"/>
        <v>0</v>
      </c>
      <c r="L184" s="5">
        <f t="shared" ca="1" si="23"/>
        <v>270</v>
      </c>
      <c r="M184" s="11">
        <f t="shared" ca="1" si="32"/>
        <v>1</v>
      </c>
    </row>
    <row r="185" spans="2:13" x14ac:dyDescent="0.25">
      <c r="B185" s="2">
        <v>178</v>
      </c>
      <c r="C185" s="5">
        <f t="shared" ca="1" si="24"/>
        <v>10</v>
      </c>
      <c r="D185" s="5">
        <f t="shared" ca="1" si="25"/>
        <v>270</v>
      </c>
      <c r="E185" s="5">
        <f t="shared" ca="1" si="26"/>
        <v>280</v>
      </c>
      <c r="F185" s="5">
        <f t="shared" ca="1" si="27"/>
        <v>0</v>
      </c>
      <c r="G185" s="5">
        <f t="shared" ca="1" si="22"/>
        <v>103</v>
      </c>
      <c r="H185" s="5">
        <f t="shared" ca="1" si="28"/>
        <v>0</v>
      </c>
      <c r="I185" s="5">
        <f t="shared" ca="1" si="29"/>
        <v>103</v>
      </c>
      <c r="J185" s="5">
        <f t="shared" ca="1" si="30"/>
        <v>177</v>
      </c>
      <c r="K185" s="5">
        <f t="shared" ca="1" si="31"/>
        <v>0</v>
      </c>
      <c r="L185" s="5">
        <f t="shared" ca="1" si="23"/>
        <v>103</v>
      </c>
      <c r="M185" s="11">
        <f t="shared" ca="1" si="32"/>
        <v>1</v>
      </c>
    </row>
    <row r="186" spans="2:13" x14ac:dyDescent="0.25">
      <c r="B186" s="2">
        <v>179</v>
      </c>
      <c r="C186" s="5">
        <f t="shared" ca="1" si="24"/>
        <v>177</v>
      </c>
      <c r="D186" s="5">
        <f t="shared" ca="1" si="25"/>
        <v>103</v>
      </c>
      <c r="E186" s="5">
        <f t="shared" ca="1" si="26"/>
        <v>280</v>
      </c>
      <c r="F186" s="5">
        <f t="shared" ca="1" si="27"/>
        <v>0</v>
      </c>
      <c r="G186" s="5">
        <f t="shared" ca="1" si="22"/>
        <v>246</v>
      </c>
      <c r="H186" s="5">
        <f t="shared" ca="1" si="28"/>
        <v>0</v>
      </c>
      <c r="I186" s="5">
        <f t="shared" ca="1" si="29"/>
        <v>246</v>
      </c>
      <c r="J186" s="5">
        <f t="shared" ca="1" si="30"/>
        <v>34</v>
      </c>
      <c r="K186" s="5">
        <f t="shared" ca="1" si="31"/>
        <v>0</v>
      </c>
      <c r="L186" s="5">
        <f t="shared" ca="1" si="23"/>
        <v>246</v>
      </c>
      <c r="M186" s="11">
        <f t="shared" ca="1" si="32"/>
        <v>1</v>
      </c>
    </row>
    <row r="187" spans="2:13" x14ac:dyDescent="0.25">
      <c r="B187" s="2">
        <v>180</v>
      </c>
      <c r="C187" s="5">
        <f t="shared" ca="1" si="24"/>
        <v>34</v>
      </c>
      <c r="D187" s="5">
        <f t="shared" ca="1" si="25"/>
        <v>246</v>
      </c>
      <c r="E187" s="5">
        <f t="shared" ca="1" si="26"/>
        <v>280</v>
      </c>
      <c r="F187" s="5">
        <f t="shared" ca="1" si="27"/>
        <v>0</v>
      </c>
      <c r="G187" s="5">
        <f t="shared" ca="1" si="22"/>
        <v>290</v>
      </c>
      <c r="H187" s="5">
        <f t="shared" ca="1" si="28"/>
        <v>0</v>
      </c>
      <c r="I187" s="5">
        <f t="shared" ca="1" si="29"/>
        <v>280</v>
      </c>
      <c r="J187" s="5">
        <f t="shared" ca="1" si="30"/>
        <v>0</v>
      </c>
      <c r="K187" s="5">
        <f t="shared" ca="1" si="31"/>
        <v>10</v>
      </c>
      <c r="L187" s="5">
        <f t="shared" ca="1" si="23"/>
        <v>290</v>
      </c>
      <c r="M187" s="11">
        <f t="shared" ca="1" si="32"/>
        <v>0.96551724137931039</v>
      </c>
    </row>
    <row r="188" spans="2:13" x14ac:dyDescent="0.25">
      <c r="B188" s="2">
        <v>181</v>
      </c>
      <c r="C188" s="5">
        <f t="shared" ca="1" si="24"/>
        <v>0</v>
      </c>
      <c r="D188" s="5">
        <f t="shared" ca="1" si="25"/>
        <v>290</v>
      </c>
      <c r="E188" s="5">
        <f t="shared" ca="1" si="26"/>
        <v>290</v>
      </c>
      <c r="F188" s="5">
        <f t="shared" ca="1" si="27"/>
        <v>10</v>
      </c>
      <c r="G188" s="5">
        <f t="shared" ca="1" si="22"/>
        <v>252</v>
      </c>
      <c r="H188" s="5">
        <f t="shared" ca="1" si="28"/>
        <v>10</v>
      </c>
      <c r="I188" s="5">
        <f t="shared" ca="1" si="29"/>
        <v>252</v>
      </c>
      <c r="J188" s="5">
        <f t="shared" ca="1" si="30"/>
        <v>28</v>
      </c>
      <c r="K188" s="5">
        <f t="shared" ca="1" si="31"/>
        <v>0</v>
      </c>
      <c r="L188" s="5">
        <f t="shared" ca="1" si="23"/>
        <v>252</v>
      </c>
      <c r="M188" s="11">
        <f t="shared" ca="1" si="32"/>
        <v>1</v>
      </c>
    </row>
    <row r="189" spans="2:13" x14ac:dyDescent="0.25">
      <c r="B189" s="2">
        <v>182</v>
      </c>
      <c r="C189" s="5">
        <f t="shared" ca="1" si="24"/>
        <v>28</v>
      </c>
      <c r="D189" s="5">
        <f t="shared" ca="1" si="25"/>
        <v>252</v>
      </c>
      <c r="E189" s="5">
        <f t="shared" ca="1" si="26"/>
        <v>280</v>
      </c>
      <c r="F189" s="5">
        <f t="shared" ca="1" si="27"/>
        <v>0</v>
      </c>
      <c r="G189" s="5">
        <f t="shared" ca="1" si="22"/>
        <v>155</v>
      </c>
      <c r="H189" s="5">
        <f t="shared" ca="1" si="28"/>
        <v>0</v>
      </c>
      <c r="I189" s="5">
        <f t="shared" ca="1" si="29"/>
        <v>155</v>
      </c>
      <c r="J189" s="5">
        <f t="shared" ca="1" si="30"/>
        <v>125</v>
      </c>
      <c r="K189" s="5">
        <f t="shared" ca="1" si="31"/>
        <v>0</v>
      </c>
      <c r="L189" s="5">
        <f t="shared" ca="1" si="23"/>
        <v>155</v>
      </c>
      <c r="M189" s="11">
        <f t="shared" ca="1" si="32"/>
        <v>1</v>
      </c>
    </row>
    <row r="190" spans="2:13" x14ac:dyDescent="0.25">
      <c r="B190" s="2">
        <v>183</v>
      </c>
      <c r="C190" s="5">
        <f t="shared" ca="1" si="24"/>
        <v>125</v>
      </c>
      <c r="D190" s="5">
        <f t="shared" ca="1" si="25"/>
        <v>155</v>
      </c>
      <c r="E190" s="5">
        <f t="shared" ca="1" si="26"/>
        <v>280</v>
      </c>
      <c r="F190" s="5">
        <f t="shared" ca="1" si="27"/>
        <v>0</v>
      </c>
      <c r="G190" s="5">
        <f t="shared" ca="1" si="22"/>
        <v>115</v>
      </c>
      <c r="H190" s="5">
        <f t="shared" ca="1" si="28"/>
        <v>0</v>
      </c>
      <c r="I190" s="5">
        <f t="shared" ca="1" si="29"/>
        <v>115</v>
      </c>
      <c r="J190" s="5">
        <f t="shared" ca="1" si="30"/>
        <v>165</v>
      </c>
      <c r="K190" s="5">
        <f t="shared" ca="1" si="31"/>
        <v>0</v>
      </c>
      <c r="L190" s="5">
        <f t="shared" ca="1" si="23"/>
        <v>115</v>
      </c>
      <c r="M190" s="11">
        <f t="shared" ca="1" si="32"/>
        <v>1</v>
      </c>
    </row>
    <row r="191" spans="2:13" x14ac:dyDescent="0.25">
      <c r="B191" s="2">
        <v>184</v>
      </c>
      <c r="C191" s="5">
        <f t="shared" ca="1" si="24"/>
        <v>165</v>
      </c>
      <c r="D191" s="5">
        <f t="shared" ca="1" si="25"/>
        <v>115</v>
      </c>
      <c r="E191" s="5">
        <f t="shared" ca="1" si="26"/>
        <v>280</v>
      </c>
      <c r="F191" s="5">
        <f t="shared" ca="1" si="27"/>
        <v>0</v>
      </c>
      <c r="G191" s="5">
        <f t="shared" ca="1" si="22"/>
        <v>261</v>
      </c>
      <c r="H191" s="5">
        <f t="shared" ca="1" si="28"/>
        <v>0</v>
      </c>
      <c r="I191" s="5">
        <f t="shared" ca="1" si="29"/>
        <v>261</v>
      </c>
      <c r="J191" s="5">
        <f t="shared" ca="1" si="30"/>
        <v>19</v>
      </c>
      <c r="K191" s="5">
        <f t="shared" ca="1" si="31"/>
        <v>0</v>
      </c>
      <c r="L191" s="5">
        <f t="shared" ca="1" si="23"/>
        <v>261</v>
      </c>
      <c r="M191" s="11">
        <f t="shared" ca="1" si="32"/>
        <v>1</v>
      </c>
    </row>
    <row r="192" spans="2:13" x14ac:dyDescent="0.25">
      <c r="B192" s="2">
        <v>185</v>
      </c>
      <c r="C192" s="5">
        <f t="shared" ca="1" si="24"/>
        <v>19</v>
      </c>
      <c r="D192" s="5">
        <f t="shared" ca="1" si="25"/>
        <v>261</v>
      </c>
      <c r="E192" s="5">
        <f t="shared" ca="1" si="26"/>
        <v>280</v>
      </c>
      <c r="F192" s="5">
        <f t="shared" ca="1" si="27"/>
        <v>0</v>
      </c>
      <c r="G192" s="5">
        <f t="shared" ca="1" si="22"/>
        <v>147</v>
      </c>
      <c r="H192" s="5">
        <f t="shared" ca="1" si="28"/>
        <v>0</v>
      </c>
      <c r="I192" s="5">
        <f t="shared" ca="1" si="29"/>
        <v>147</v>
      </c>
      <c r="J192" s="5">
        <f t="shared" ca="1" si="30"/>
        <v>133</v>
      </c>
      <c r="K192" s="5">
        <f t="shared" ca="1" si="31"/>
        <v>0</v>
      </c>
      <c r="L192" s="5">
        <f t="shared" ca="1" si="23"/>
        <v>147</v>
      </c>
      <c r="M192" s="11">
        <f t="shared" ca="1" si="32"/>
        <v>1</v>
      </c>
    </row>
    <row r="193" spans="2:13" x14ac:dyDescent="0.25">
      <c r="B193" s="2">
        <v>186</v>
      </c>
      <c r="C193" s="5">
        <f t="shared" ca="1" si="24"/>
        <v>133</v>
      </c>
      <c r="D193" s="5">
        <f t="shared" ca="1" si="25"/>
        <v>147</v>
      </c>
      <c r="E193" s="5">
        <f t="shared" ca="1" si="26"/>
        <v>280</v>
      </c>
      <c r="F193" s="5">
        <f t="shared" ca="1" si="27"/>
        <v>0</v>
      </c>
      <c r="G193" s="5">
        <f t="shared" ca="1" si="22"/>
        <v>143</v>
      </c>
      <c r="H193" s="5">
        <f t="shared" ca="1" si="28"/>
        <v>0</v>
      </c>
      <c r="I193" s="5">
        <f t="shared" ca="1" si="29"/>
        <v>143</v>
      </c>
      <c r="J193" s="5">
        <f t="shared" ca="1" si="30"/>
        <v>137</v>
      </c>
      <c r="K193" s="5">
        <f t="shared" ca="1" si="31"/>
        <v>0</v>
      </c>
      <c r="L193" s="5">
        <f t="shared" ca="1" si="23"/>
        <v>143</v>
      </c>
      <c r="M193" s="11">
        <f t="shared" ca="1" si="32"/>
        <v>1</v>
      </c>
    </row>
    <row r="194" spans="2:13" x14ac:dyDescent="0.25">
      <c r="B194" s="2">
        <v>187</v>
      </c>
      <c r="C194" s="5">
        <f t="shared" ca="1" si="24"/>
        <v>137</v>
      </c>
      <c r="D194" s="5">
        <f t="shared" ca="1" si="25"/>
        <v>143</v>
      </c>
      <c r="E194" s="5">
        <f t="shared" ca="1" si="26"/>
        <v>280</v>
      </c>
      <c r="F194" s="5">
        <f t="shared" ca="1" si="27"/>
        <v>0</v>
      </c>
      <c r="G194" s="5">
        <f t="shared" ca="1" si="22"/>
        <v>135</v>
      </c>
      <c r="H194" s="5">
        <f t="shared" ca="1" si="28"/>
        <v>0</v>
      </c>
      <c r="I194" s="5">
        <f t="shared" ca="1" si="29"/>
        <v>135</v>
      </c>
      <c r="J194" s="5">
        <f t="shared" ca="1" si="30"/>
        <v>145</v>
      </c>
      <c r="K194" s="5">
        <f t="shared" ca="1" si="31"/>
        <v>0</v>
      </c>
      <c r="L194" s="5">
        <f t="shared" ca="1" si="23"/>
        <v>135</v>
      </c>
      <c r="M194" s="11">
        <f t="shared" ca="1" si="32"/>
        <v>1</v>
      </c>
    </row>
    <row r="195" spans="2:13" x14ac:dyDescent="0.25">
      <c r="B195" s="2">
        <v>188</v>
      </c>
      <c r="C195" s="5">
        <f t="shared" ca="1" si="24"/>
        <v>145</v>
      </c>
      <c r="D195" s="5">
        <f t="shared" ca="1" si="25"/>
        <v>135</v>
      </c>
      <c r="E195" s="5">
        <f t="shared" ca="1" si="26"/>
        <v>280</v>
      </c>
      <c r="F195" s="5">
        <f t="shared" ca="1" si="27"/>
        <v>0</v>
      </c>
      <c r="G195" s="5">
        <f t="shared" ca="1" si="22"/>
        <v>109</v>
      </c>
      <c r="H195" s="5">
        <f t="shared" ca="1" si="28"/>
        <v>0</v>
      </c>
      <c r="I195" s="5">
        <f t="shared" ca="1" si="29"/>
        <v>109</v>
      </c>
      <c r="J195" s="5">
        <f t="shared" ca="1" si="30"/>
        <v>171</v>
      </c>
      <c r="K195" s="5">
        <f t="shared" ca="1" si="31"/>
        <v>0</v>
      </c>
      <c r="L195" s="5">
        <f t="shared" ca="1" si="23"/>
        <v>109</v>
      </c>
      <c r="M195" s="11">
        <f t="shared" ca="1" si="32"/>
        <v>1</v>
      </c>
    </row>
    <row r="196" spans="2:13" x14ac:dyDescent="0.25">
      <c r="B196" s="2">
        <v>189</v>
      </c>
      <c r="C196" s="5">
        <f t="shared" ca="1" si="24"/>
        <v>171</v>
      </c>
      <c r="D196" s="5">
        <f t="shared" ca="1" si="25"/>
        <v>109</v>
      </c>
      <c r="E196" s="5">
        <f t="shared" ca="1" si="26"/>
        <v>280</v>
      </c>
      <c r="F196" s="5">
        <f t="shared" ca="1" si="27"/>
        <v>0</v>
      </c>
      <c r="G196" s="5">
        <f t="shared" ca="1" si="22"/>
        <v>226</v>
      </c>
      <c r="H196" s="5">
        <f t="shared" ca="1" si="28"/>
        <v>0</v>
      </c>
      <c r="I196" s="5">
        <f t="shared" ca="1" si="29"/>
        <v>226</v>
      </c>
      <c r="J196" s="5">
        <f t="shared" ca="1" si="30"/>
        <v>54</v>
      </c>
      <c r="K196" s="5">
        <f t="shared" ca="1" si="31"/>
        <v>0</v>
      </c>
      <c r="L196" s="5">
        <f t="shared" ca="1" si="23"/>
        <v>226</v>
      </c>
      <c r="M196" s="11">
        <f t="shared" ca="1" si="32"/>
        <v>1</v>
      </c>
    </row>
    <row r="197" spans="2:13" x14ac:dyDescent="0.25">
      <c r="B197" s="2">
        <v>190</v>
      </c>
      <c r="C197" s="5">
        <f t="shared" ca="1" si="24"/>
        <v>54</v>
      </c>
      <c r="D197" s="5">
        <f t="shared" ca="1" si="25"/>
        <v>226</v>
      </c>
      <c r="E197" s="5">
        <f t="shared" ca="1" si="26"/>
        <v>280</v>
      </c>
      <c r="F197" s="5">
        <f t="shared" ca="1" si="27"/>
        <v>0</v>
      </c>
      <c r="G197" s="5">
        <f t="shared" ca="1" si="22"/>
        <v>163</v>
      </c>
      <c r="H197" s="5">
        <f t="shared" ca="1" si="28"/>
        <v>0</v>
      </c>
      <c r="I197" s="5">
        <f t="shared" ca="1" si="29"/>
        <v>163</v>
      </c>
      <c r="J197" s="5">
        <f t="shared" ca="1" si="30"/>
        <v>117</v>
      </c>
      <c r="K197" s="5">
        <f t="shared" ca="1" si="31"/>
        <v>0</v>
      </c>
      <c r="L197" s="5">
        <f t="shared" ca="1" si="23"/>
        <v>163</v>
      </c>
      <c r="M197" s="11">
        <f t="shared" ca="1" si="32"/>
        <v>1</v>
      </c>
    </row>
    <row r="198" spans="2:13" x14ac:dyDescent="0.25">
      <c r="B198" s="2">
        <v>191</v>
      </c>
      <c r="C198" s="5">
        <f t="shared" ca="1" si="24"/>
        <v>117</v>
      </c>
      <c r="D198" s="5">
        <f t="shared" ca="1" si="25"/>
        <v>163</v>
      </c>
      <c r="E198" s="5">
        <f t="shared" ca="1" si="26"/>
        <v>280</v>
      </c>
      <c r="F198" s="5">
        <f t="shared" ca="1" si="27"/>
        <v>0</v>
      </c>
      <c r="G198" s="5">
        <f t="shared" ca="1" si="22"/>
        <v>145</v>
      </c>
      <c r="H198" s="5">
        <f t="shared" ca="1" si="28"/>
        <v>0</v>
      </c>
      <c r="I198" s="5">
        <f t="shared" ca="1" si="29"/>
        <v>145</v>
      </c>
      <c r="J198" s="5">
        <f t="shared" ca="1" si="30"/>
        <v>135</v>
      </c>
      <c r="K198" s="5">
        <f t="shared" ca="1" si="31"/>
        <v>0</v>
      </c>
      <c r="L198" s="5">
        <f t="shared" ca="1" si="23"/>
        <v>145</v>
      </c>
      <c r="M198" s="11">
        <f t="shared" ca="1" si="32"/>
        <v>1</v>
      </c>
    </row>
    <row r="199" spans="2:13" x14ac:dyDescent="0.25">
      <c r="B199" s="2">
        <v>192</v>
      </c>
      <c r="C199" s="5">
        <f t="shared" ca="1" si="24"/>
        <v>135</v>
      </c>
      <c r="D199" s="5">
        <f t="shared" ca="1" si="25"/>
        <v>145</v>
      </c>
      <c r="E199" s="5">
        <f t="shared" ca="1" si="26"/>
        <v>280</v>
      </c>
      <c r="F199" s="5">
        <f t="shared" ca="1" si="27"/>
        <v>0</v>
      </c>
      <c r="G199" s="5">
        <f t="shared" ca="1" si="22"/>
        <v>133</v>
      </c>
      <c r="H199" s="5">
        <f t="shared" ca="1" si="28"/>
        <v>0</v>
      </c>
      <c r="I199" s="5">
        <f t="shared" ca="1" si="29"/>
        <v>133</v>
      </c>
      <c r="J199" s="5">
        <f t="shared" ca="1" si="30"/>
        <v>147</v>
      </c>
      <c r="K199" s="5">
        <f t="shared" ca="1" si="31"/>
        <v>0</v>
      </c>
      <c r="L199" s="5">
        <f t="shared" ca="1" si="23"/>
        <v>133</v>
      </c>
      <c r="M199" s="11">
        <f t="shared" ca="1" si="32"/>
        <v>1</v>
      </c>
    </row>
    <row r="200" spans="2:13" x14ac:dyDescent="0.25">
      <c r="B200" s="2">
        <v>193</v>
      </c>
      <c r="C200" s="5">
        <f t="shared" ca="1" si="24"/>
        <v>147</v>
      </c>
      <c r="D200" s="5">
        <f t="shared" ca="1" si="25"/>
        <v>133</v>
      </c>
      <c r="E200" s="5">
        <f t="shared" ca="1" si="26"/>
        <v>280</v>
      </c>
      <c r="F200" s="5">
        <f t="shared" ca="1" si="27"/>
        <v>0</v>
      </c>
      <c r="G200" s="5">
        <f t="shared" ref="G200:G263" ca="1" si="33">RANDBETWEEN(DemandMin,DemandMax)</f>
        <v>249</v>
      </c>
      <c r="H200" s="5">
        <f t="shared" ca="1" si="28"/>
        <v>0</v>
      </c>
      <c r="I200" s="5">
        <f t="shared" ca="1" si="29"/>
        <v>249</v>
      </c>
      <c r="J200" s="5">
        <f t="shared" ca="1" si="30"/>
        <v>31</v>
      </c>
      <c r="K200" s="5">
        <f t="shared" ca="1" si="31"/>
        <v>0</v>
      </c>
      <c r="L200" s="5">
        <f t="shared" ref="L200:L263" ca="1" si="34">MAX(0,BaseStock-(J200-K200))</f>
        <v>249</v>
      </c>
      <c r="M200" s="11">
        <f t="shared" ca="1" si="32"/>
        <v>1</v>
      </c>
    </row>
    <row r="201" spans="2:13" x14ac:dyDescent="0.25">
      <c r="B201" s="2">
        <v>194</v>
      </c>
      <c r="C201" s="5">
        <f t="shared" ref="C201:C264" ca="1" si="35">J200</f>
        <v>31</v>
      </c>
      <c r="D201" s="5">
        <f t="shared" ref="D201:D264" ca="1" si="36">L200</f>
        <v>249</v>
      </c>
      <c r="E201" s="5">
        <f t="shared" ref="E201:E264" ca="1" si="37">SUM(C201:D201)</f>
        <v>280</v>
      </c>
      <c r="F201" s="5">
        <f t="shared" ref="F201:F264" ca="1" si="38">K200</f>
        <v>0</v>
      </c>
      <c r="G201" s="5">
        <f t="shared" ca="1" si="33"/>
        <v>204</v>
      </c>
      <c r="H201" s="5">
        <f t="shared" ref="H201:H264" ca="1" si="39">MIN(F201,E201)</f>
        <v>0</v>
      </c>
      <c r="I201" s="5">
        <f t="shared" ref="I201:I264" ca="1" si="40">MIN(G201,E201-H201)</f>
        <v>204</v>
      </c>
      <c r="J201" s="5">
        <f t="shared" ref="J201:J264" ca="1" si="41">E201-H201-I201</f>
        <v>76</v>
      </c>
      <c r="K201" s="5">
        <f t="shared" ref="K201:K264" ca="1" si="42">F201+G201-H201-I201</f>
        <v>0</v>
      </c>
      <c r="L201" s="5">
        <f t="shared" ca="1" si="34"/>
        <v>204</v>
      </c>
      <c r="M201" s="11">
        <f t="shared" ref="M201:M264" ca="1" si="43">IFERROR(I201/G201,1)</f>
        <v>1</v>
      </c>
    </row>
    <row r="202" spans="2:13" x14ac:dyDescent="0.25">
      <c r="B202" s="2">
        <v>195</v>
      </c>
      <c r="C202" s="5">
        <f t="shared" ca="1" si="35"/>
        <v>76</v>
      </c>
      <c r="D202" s="5">
        <f t="shared" ca="1" si="36"/>
        <v>204</v>
      </c>
      <c r="E202" s="5">
        <f t="shared" ca="1" si="37"/>
        <v>280</v>
      </c>
      <c r="F202" s="5">
        <f t="shared" ca="1" si="38"/>
        <v>0</v>
      </c>
      <c r="G202" s="5">
        <f t="shared" ca="1" si="33"/>
        <v>103</v>
      </c>
      <c r="H202" s="5">
        <f t="shared" ca="1" si="39"/>
        <v>0</v>
      </c>
      <c r="I202" s="5">
        <f t="shared" ca="1" si="40"/>
        <v>103</v>
      </c>
      <c r="J202" s="5">
        <f t="shared" ca="1" si="41"/>
        <v>177</v>
      </c>
      <c r="K202" s="5">
        <f t="shared" ca="1" si="42"/>
        <v>0</v>
      </c>
      <c r="L202" s="5">
        <f t="shared" ca="1" si="34"/>
        <v>103</v>
      </c>
      <c r="M202" s="11">
        <f t="shared" ca="1" si="43"/>
        <v>1</v>
      </c>
    </row>
    <row r="203" spans="2:13" x14ac:dyDescent="0.25">
      <c r="B203" s="2">
        <v>196</v>
      </c>
      <c r="C203" s="5">
        <f t="shared" ca="1" si="35"/>
        <v>177</v>
      </c>
      <c r="D203" s="5">
        <f t="shared" ca="1" si="36"/>
        <v>103</v>
      </c>
      <c r="E203" s="5">
        <f t="shared" ca="1" si="37"/>
        <v>280</v>
      </c>
      <c r="F203" s="5">
        <f t="shared" ca="1" si="38"/>
        <v>0</v>
      </c>
      <c r="G203" s="5">
        <f t="shared" ca="1" si="33"/>
        <v>123</v>
      </c>
      <c r="H203" s="5">
        <f t="shared" ca="1" si="39"/>
        <v>0</v>
      </c>
      <c r="I203" s="5">
        <f t="shared" ca="1" si="40"/>
        <v>123</v>
      </c>
      <c r="J203" s="5">
        <f t="shared" ca="1" si="41"/>
        <v>157</v>
      </c>
      <c r="K203" s="5">
        <f t="shared" ca="1" si="42"/>
        <v>0</v>
      </c>
      <c r="L203" s="5">
        <f t="shared" ca="1" si="34"/>
        <v>123</v>
      </c>
      <c r="M203" s="11">
        <f t="shared" ca="1" si="43"/>
        <v>1</v>
      </c>
    </row>
    <row r="204" spans="2:13" x14ac:dyDescent="0.25">
      <c r="B204" s="2">
        <v>197</v>
      </c>
      <c r="C204" s="5">
        <f t="shared" ca="1" si="35"/>
        <v>157</v>
      </c>
      <c r="D204" s="5">
        <f t="shared" ca="1" si="36"/>
        <v>123</v>
      </c>
      <c r="E204" s="5">
        <f t="shared" ca="1" si="37"/>
        <v>280</v>
      </c>
      <c r="F204" s="5">
        <f t="shared" ca="1" si="38"/>
        <v>0</v>
      </c>
      <c r="G204" s="5">
        <f t="shared" ca="1" si="33"/>
        <v>240</v>
      </c>
      <c r="H204" s="5">
        <f t="shared" ca="1" si="39"/>
        <v>0</v>
      </c>
      <c r="I204" s="5">
        <f t="shared" ca="1" si="40"/>
        <v>240</v>
      </c>
      <c r="J204" s="5">
        <f t="shared" ca="1" si="41"/>
        <v>40</v>
      </c>
      <c r="K204" s="5">
        <f t="shared" ca="1" si="42"/>
        <v>0</v>
      </c>
      <c r="L204" s="5">
        <f t="shared" ca="1" si="34"/>
        <v>240</v>
      </c>
      <c r="M204" s="11">
        <f t="shared" ca="1" si="43"/>
        <v>1</v>
      </c>
    </row>
    <row r="205" spans="2:13" x14ac:dyDescent="0.25">
      <c r="B205" s="2">
        <v>198</v>
      </c>
      <c r="C205" s="5">
        <f t="shared" ca="1" si="35"/>
        <v>40</v>
      </c>
      <c r="D205" s="5">
        <f t="shared" ca="1" si="36"/>
        <v>240</v>
      </c>
      <c r="E205" s="5">
        <f t="shared" ca="1" si="37"/>
        <v>280</v>
      </c>
      <c r="F205" s="5">
        <f t="shared" ca="1" si="38"/>
        <v>0</v>
      </c>
      <c r="G205" s="5">
        <f t="shared" ca="1" si="33"/>
        <v>208</v>
      </c>
      <c r="H205" s="5">
        <f t="shared" ca="1" si="39"/>
        <v>0</v>
      </c>
      <c r="I205" s="5">
        <f t="shared" ca="1" si="40"/>
        <v>208</v>
      </c>
      <c r="J205" s="5">
        <f t="shared" ca="1" si="41"/>
        <v>72</v>
      </c>
      <c r="K205" s="5">
        <f t="shared" ca="1" si="42"/>
        <v>0</v>
      </c>
      <c r="L205" s="5">
        <f t="shared" ca="1" si="34"/>
        <v>208</v>
      </c>
      <c r="M205" s="11">
        <f t="shared" ca="1" si="43"/>
        <v>1</v>
      </c>
    </row>
    <row r="206" spans="2:13" x14ac:dyDescent="0.25">
      <c r="B206" s="2">
        <v>199</v>
      </c>
      <c r="C206" s="5">
        <f t="shared" ca="1" si="35"/>
        <v>72</v>
      </c>
      <c r="D206" s="5">
        <f t="shared" ca="1" si="36"/>
        <v>208</v>
      </c>
      <c r="E206" s="5">
        <f t="shared" ca="1" si="37"/>
        <v>280</v>
      </c>
      <c r="F206" s="5">
        <f t="shared" ca="1" si="38"/>
        <v>0</v>
      </c>
      <c r="G206" s="5">
        <f t="shared" ca="1" si="33"/>
        <v>257</v>
      </c>
      <c r="H206" s="5">
        <f t="shared" ca="1" si="39"/>
        <v>0</v>
      </c>
      <c r="I206" s="5">
        <f t="shared" ca="1" si="40"/>
        <v>257</v>
      </c>
      <c r="J206" s="5">
        <f t="shared" ca="1" si="41"/>
        <v>23</v>
      </c>
      <c r="K206" s="5">
        <f t="shared" ca="1" si="42"/>
        <v>0</v>
      </c>
      <c r="L206" s="5">
        <f t="shared" ca="1" si="34"/>
        <v>257</v>
      </c>
      <c r="M206" s="11">
        <f t="shared" ca="1" si="43"/>
        <v>1</v>
      </c>
    </row>
    <row r="207" spans="2:13" x14ac:dyDescent="0.25">
      <c r="B207" s="2">
        <v>200</v>
      </c>
      <c r="C207" s="5">
        <f t="shared" ca="1" si="35"/>
        <v>23</v>
      </c>
      <c r="D207" s="5">
        <f t="shared" ca="1" si="36"/>
        <v>257</v>
      </c>
      <c r="E207" s="5">
        <f t="shared" ca="1" si="37"/>
        <v>280</v>
      </c>
      <c r="F207" s="5">
        <f t="shared" ca="1" si="38"/>
        <v>0</v>
      </c>
      <c r="G207" s="5">
        <f t="shared" ca="1" si="33"/>
        <v>252</v>
      </c>
      <c r="H207" s="5">
        <f t="shared" ca="1" si="39"/>
        <v>0</v>
      </c>
      <c r="I207" s="5">
        <f t="shared" ca="1" si="40"/>
        <v>252</v>
      </c>
      <c r="J207" s="5">
        <f t="shared" ca="1" si="41"/>
        <v>28</v>
      </c>
      <c r="K207" s="5">
        <f t="shared" ca="1" si="42"/>
        <v>0</v>
      </c>
      <c r="L207" s="5">
        <f t="shared" ca="1" si="34"/>
        <v>252</v>
      </c>
      <c r="M207" s="11">
        <f t="shared" ca="1" si="43"/>
        <v>1</v>
      </c>
    </row>
    <row r="208" spans="2:13" x14ac:dyDescent="0.25">
      <c r="B208" s="2">
        <v>201</v>
      </c>
      <c r="C208" s="5">
        <f t="shared" ca="1" si="35"/>
        <v>28</v>
      </c>
      <c r="D208" s="5">
        <f t="shared" ca="1" si="36"/>
        <v>252</v>
      </c>
      <c r="E208" s="5">
        <f t="shared" ca="1" si="37"/>
        <v>280</v>
      </c>
      <c r="F208" s="5">
        <f t="shared" ca="1" si="38"/>
        <v>0</v>
      </c>
      <c r="G208" s="5">
        <f t="shared" ca="1" si="33"/>
        <v>246</v>
      </c>
      <c r="H208" s="5">
        <f t="shared" ca="1" si="39"/>
        <v>0</v>
      </c>
      <c r="I208" s="5">
        <f t="shared" ca="1" si="40"/>
        <v>246</v>
      </c>
      <c r="J208" s="5">
        <f t="shared" ca="1" si="41"/>
        <v>34</v>
      </c>
      <c r="K208" s="5">
        <f t="shared" ca="1" si="42"/>
        <v>0</v>
      </c>
      <c r="L208" s="5">
        <f t="shared" ca="1" si="34"/>
        <v>246</v>
      </c>
      <c r="M208" s="11">
        <f t="shared" ca="1" si="43"/>
        <v>1</v>
      </c>
    </row>
    <row r="209" spans="2:13" x14ac:dyDescent="0.25">
      <c r="B209" s="2">
        <v>202</v>
      </c>
      <c r="C209" s="5">
        <f t="shared" ca="1" si="35"/>
        <v>34</v>
      </c>
      <c r="D209" s="5">
        <f t="shared" ca="1" si="36"/>
        <v>246</v>
      </c>
      <c r="E209" s="5">
        <f t="shared" ca="1" si="37"/>
        <v>280</v>
      </c>
      <c r="F209" s="5">
        <f t="shared" ca="1" si="38"/>
        <v>0</v>
      </c>
      <c r="G209" s="5">
        <f t="shared" ca="1" si="33"/>
        <v>168</v>
      </c>
      <c r="H209" s="5">
        <f t="shared" ca="1" si="39"/>
        <v>0</v>
      </c>
      <c r="I209" s="5">
        <f t="shared" ca="1" si="40"/>
        <v>168</v>
      </c>
      <c r="J209" s="5">
        <f t="shared" ca="1" si="41"/>
        <v>112</v>
      </c>
      <c r="K209" s="5">
        <f t="shared" ca="1" si="42"/>
        <v>0</v>
      </c>
      <c r="L209" s="5">
        <f t="shared" ca="1" si="34"/>
        <v>168</v>
      </c>
      <c r="M209" s="11">
        <f t="shared" ca="1" si="43"/>
        <v>1</v>
      </c>
    </row>
    <row r="210" spans="2:13" x14ac:dyDescent="0.25">
      <c r="B210" s="2">
        <v>203</v>
      </c>
      <c r="C210" s="5">
        <f t="shared" ca="1" si="35"/>
        <v>112</v>
      </c>
      <c r="D210" s="5">
        <f t="shared" ca="1" si="36"/>
        <v>168</v>
      </c>
      <c r="E210" s="5">
        <f t="shared" ca="1" si="37"/>
        <v>280</v>
      </c>
      <c r="F210" s="5">
        <f t="shared" ca="1" si="38"/>
        <v>0</v>
      </c>
      <c r="G210" s="5">
        <f t="shared" ca="1" si="33"/>
        <v>218</v>
      </c>
      <c r="H210" s="5">
        <f t="shared" ca="1" si="39"/>
        <v>0</v>
      </c>
      <c r="I210" s="5">
        <f t="shared" ca="1" si="40"/>
        <v>218</v>
      </c>
      <c r="J210" s="5">
        <f t="shared" ca="1" si="41"/>
        <v>62</v>
      </c>
      <c r="K210" s="5">
        <f t="shared" ca="1" si="42"/>
        <v>0</v>
      </c>
      <c r="L210" s="5">
        <f t="shared" ca="1" si="34"/>
        <v>218</v>
      </c>
      <c r="M210" s="11">
        <f t="shared" ca="1" si="43"/>
        <v>1</v>
      </c>
    </row>
    <row r="211" spans="2:13" x14ac:dyDescent="0.25">
      <c r="B211" s="2">
        <v>204</v>
      </c>
      <c r="C211" s="5">
        <f t="shared" ca="1" si="35"/>
        <v>62</v>
      </c>
      <c r="D211" s="5">
        <f t="shared" ca="1" si="36"/>
        <v>218</v>
      </c>
      <c r="E211" s="5">
        <f t="shared" ca="1" si="37"/>
        <v>280</v>
      </c>
      <c r="F211" s="5">
        <f t="shared" ca="1" si="38"/>
        <v>0</v>
      </c>
      <c r="G211" s="5">
        <f t="shared" ca="1" si="33"/>
        <v>221</v>
      </c>
      <c r="H211" s="5">
        <f t="shared" ca="1" si="39"/>
        <v>0</v>
      </c>
      <c r="I211" s="5">
        <f t="shared" ca="1" si="40"/>
        <v>221</v>
      </c>
      <c r="J211" s="5">
        <f t="shared" ca="1" si="41"/>
        <v>59</v>
      </c>
      <c r="K211" s="5">
        <f t="shared" ca="1" si="42"/>
        <v>0</v>
      </c>
      <c r="L211" s="5">
        <f t="shared" ca="1" si="34"/>
        <v>221</v>
      </c>
      <c r="M211" s="11">
        <f t="shared" ca="1" si="43"/>
        <v>1</v>
      </c>
    </row>
    <row r="212" spans="2:13" x14ac:dyDescent="0.25">
      <c r="B212" s="2">
        <v>205</v>
      </c>
      <c r="C212" s="5">
        <f t="shared" ca="1" si="35"/>
        <v>59</v>
      </c>
      <c r="D212" s="5">
        <f t="shared" ca="1" si="36"/>
        <v>221</v>
      </c>
      <c r="E212" s="5">
        <f t="shared" ca="1" si="37"/>
        <v>280</v>
      </c>
      <c r="F212" s="5">
        <f t="shared" ca="1" si="38"/>
        <v>0</v>
      </c>
      <c r="G212" s="5">
        <f t="shared" ca="1" si="33"/>
        <v>150</v>
      </c>
      <c r="H212" s="5">
        <f t="shared" ca="1" si="39"/>
        <v>0</v>
      </c>
      <c r="I212" s="5">
        <f t="shared" ca="1" si="40"/>
        <v>150</v>
      </c>
      <c r="J212" s="5">
        <f t="shared" ca="1" si="41"/>
        <v>130</v>
      </c>
      <c r="K212" s="5">
        <f t="shared" ca="1" si="42"/>
        <v>0</v>
      </c>
      <c r="L212" s="5">
        <f t="shared" ca="1" si="34"/>
        <v>150</v>
      </c>
      <c r="M212" s="11">
        <f t="shared" ca="1" si="43"/>
        <v>1</v>
      </c>
    </row>
    <row r="213" spans="2:13" x14ac:dyDescent="0.25">
      <c r="B213" s="2">
        <v>206</v>
      </c>
      <c r="C213" s="5">
        <f t="shared" ca="1" si="35"/>
        <v>130</v>
      </c>
      <c r="D213" s="5">
        <f t="shared" ca="1" si="36"/>
        <v>150</v>
      </c>
      <c r="E213" s="5">
        <f t="shared" ca="1" si="37"/>
        <v>280</v>
      </c>
      <c r="F213" s="5">
        <f t="shared" ca="1" si="38"/>
        <v>0</v>
      </c>
      <c r="G213" s="5">
        <f t="shared" ca="1" si="33"/>
        <v>159</v>
      </c>
      <c r="H213" s="5">
        <f t="shared" ca="1" si="39"/>
        <v>0</v>
      </c>
      <c r="I213" s="5">
        <f t="shared" ca="1" si="40"/>
        <v>159</v>
      </c>
      <c r="J213" s="5">
        <f t="shared" ca="1" si="41"/>
        <v>121</v>
      </c>
      <c r="K213" s="5">
        <f t="shared" ca="1" si="42"/>
        <v>0</v>
      </c>
      <c r="L213" s="5">
        <f t="shared" ca="1" si="34"/>
        <v>159</v>
      </c>
      <c r="M213" s="11">
        <f t="shared" ca="1" si="43"/>
        <v>1</v>
      </c>
    </row>
    <row r="214" spans="2:13" x14ac:dyDescent="0.25">
      <c r="B214" s="2">
        <v>207</v>
      </c>
      <c r="C214" s="5">
        <f t="shared" ca="1" si="35"/>
        <v>121</v>
      </c>
      <c r="D214" s="5">
        <f t="shared" ca="1" si="36"/>
        <v>159</v>
      </c>
      <c r="E214" s="5">
        <f t="shared" ca="1" si="37"/>
        <v>280</v>
      </c>
      <c r="F214" s="5">
        <f t="shared" ca="1" si="38"/>
        <v>0</v>
      </c>
      <c r="G214" s="5">
        <f t="shared" ca="1" si="33"/>
        <v>292</v>
      </c>
      <c r="H214" s="5">
        <f t="shared" ca="1" si="39"/>
        <v>0</v>
      </c>
      <c r="I214" s="5">
        <f t="shared" ca="1" si="40"/>
        <v>280</v>
      </c>
      <c r="J214" s="5">
        <f t="shared" ca="1" si="41"/>
        <v>0</v>
      </c>
      <c r="K214" s="5">
        <f t="shared" ca="1" si="42"/>
        <v>12</v>
      </c>
      <c r="L214" s="5">
        <f t="shared" ca="1" si="34"/>
        <v>292</v>
      </c>
      <c r="M214" s="11">
        <f t="shared" ca="1" si="43"/>
        <v>0.95890410958904104</v>
      </c>
    </row>
    <row r="215" spans="2:13" x14ac:dyDescent="0.25">
      <c r="B215" s="2">
        <v>208</v>
      </c>
      <c r="C215" s="5">
        <f t="shared" ca="1" si="35"/>
        <v>0</v>
      </c>
      <c r="D215" s="5">
        <f t="shared" ca="1" si="36"/>
        <v>292</v>
      </c>
      <c r="E215" s="5">
        <f t="shared" ca="1" si="37"/>
        <v>292</v>
      </c>
      <c r="F215" s="5">
        <f t="shared" ca="1" si="38"/>
        <v>12</v>
      </c>
      <c r="G215" s="5">
        <f t="shared" ca="1" si="33"/>
        <v>250</v>
      </c>
      <c r="H215" s="5">
        <f t="shared" ca="1" si="39"/>
        <v>12</v>
      </c>
      <c r="I215" s="5">
        <f t="shared" ca="1" si="40"/>
        <v>250</v>
      </c>
      <c r="J215" s="5">
        <f t="shared" ca="1" si="41"/>
        <v>30</v>
      </c>
      <c r="K215" s="5">
        <f t="shared" ca="1" si="42"/>
        <v>0</v>
      </c>
      <c r="L215" s="5">
        <f t="shared" ca="1" si="34"/>
        <v>250</v>
      </c>
      <c r="M215" s="11">
        <f t="shared" ca="1" si="43"/>
        <v>1</v>
      </c>
    </row>
    <row r="216" spans="2:13" x14ac:dyDescent="0.25">
      <c r="B216" s="2">
        <v>209</v>
      </c>
      <c r="C216" s="5">
        <f t="shared" ca="1" si="35"/>
        <v>30</v>
      </c>
      <c r="D216" s="5">
        <f t="shared" ca="1" si="36"/>
        <v>250</v>
      </c>
      <c r="E216" s="5">
        <f t="shared" ca="1" si="37"/>
        <v>280</v>
      </c>
      <c r="F216" s="5">
        <f t="shared" ca="1" si="38"/>
        <v>0</v>
      </c>
      <c r="G216" s="5">
        <f t="shared" ca="1" si="33"/>
        <v>232</v>
      </c>
      <c r="H216" s="5">
        <f t="shared" ca="1" si="39"/>
        <v>0</v>
      </c>
      <c r="I216" s="5">
        <f t="shared" ca="1" si="40"/>
        <v>232</v>
      </c>
      <c r="J216" s="5">
        <f t="shared" ca="1" si="41"/>
        <v>48</v>
      </c>
      <c r="K216" s="5">
        <f t="shared" ca="1" si="42"/>
        <v>0</v>
      </c>
      <c r="L216" s="5">
        <f t="shared" ca="1" si="34"/>
        <v>232</v>
      </c>
      <c r="M216" s="11">
        <f t="shared" ca="1" si="43"/>
        <v>1</v>
      </c>
    </row>
    <row r="217" spans="2:13" x14ac:dyDescent="0.25">
      <c r="B217" s="2">
        <v>210</v>
      </c>
      <c r="C217" s="5">
        <f t="shared" ca="1" si="35"/>
        <v>48</v>
      </c>
      <c r="D217" s="5">
        <f t="shared" ca="1" si="36"/>
        <v>232</v>
      </c>
      <c r="E217" s="5">
        <f t="shared" ca="1" si="37"/>
        <v>280</v>
      </c>
      <c r="F217" s="5">
        <f t="shared" ca="1" si="38"/>
        <v>0</v>
      </c>
      <c r="G217" s="5">
        <f t="shared" ca="1" si="33"/>
        <v>232</v>
      </c>
      <c r="H217" s="5">
        <f t="shared" ca="1" si="39"/>
        <v>0</v>
      </c>
      <c r="I217" s="5">
        <f t="shared" ca="1" si="40"/>
        <v>232</v>
      </c>
      <c r="J217" s="5">
        <f t="shared" ca="1" si="41"/>
        <v>48</v>
      </c>
      <c r="K217" s="5">
        <f t="shared" ca="1" si="42"/>
        <v>0</v>
      </c>
      <c r="L217" s="5">
        <f t="shared" ca="1" si="34"/>
        <v>232</v>
      </c>
      <c r="M217" s="11">
        <f t="shared" ca="1" si="43"/>
        <v>1</v>
      </c>
    </row>
    <row r="218" spans="2:13" x14ac:dyDescent="0.25">
      <c r="B218" s="2">
        <v>211</v>
      </c>
      <c r="C218" s="5">
        <f t="shared" ca="1" si="35"/>
        <v>48</v>
      </c>
      <c r="D218" s="5">
        <f t="shared" ca="1" si="36"/>
        <v>232</v>
      </c>
      <c r="E218" s="5">
        <f t="shared" ca="1" si="37"/>
        <v>280</v>
      </c>
      <c r="F218" s="5">
        <f t="shared" ca="1" si="38"/>
        <v>0</v>
      </c>
      <c r="G218" s="5">
        <f t="shared" ca="1" si="33"/>
        <v>104</v>
      </c>
      <c r="H218" s="5">
        <f t="shared" ca="1" si="39"/>
        <v>0</v>
      </c>
      <c r="I218" s="5">
        <f t="shared" ca="1" si="40"/>
        <v>104</v>
      </c>
      <c r="J218" s="5">
        <f t="shared" ca="1" si="41"/>
        <v>176</v>
      </c>
      <c r="K218" s="5">
        <f t="shared" ca="1" si="42"/>
        <v>0</v>
      </c>
      <c r="L218" s="5">
        <f t="shared" ca="1" si="34"/>
        <v>104</v>
      </c>
      <c r="M218" s="11">
        <f t="shared" ca="1" si="43"/>
        <v>1</v>
      </c>
    </row>
    <row r="219" spans="2:13" x14ac:dyDescent="0.25">
      <c r="B219" s="2">
        <v>212</v>
      </c>
      <c r="C219" s="5">
        <f t="shared" ca="1" si="35"/>
        <v>176</v>
      </c>
      <c r="D219" s="5">
        <f t="shared" ca="1" si="36"/>
        <v>104</v>
      </c>
      <c r="E219" s="5">
        <f t="shared" ca="1" si="37"/>
        <v>280</v>
      </c>
      <c r="F219" s="5">
        <f t="shared" ca="1" si="38"/>
        <v>0</v>
      </c>
      <c r="G219" s="5">
        <f t="shared" ca="1" si="33"/>
        <v>226</v>
      </c>
      <c r="H219" s="5">
        <f t="shared" ca="1" si="39"/>
        <v>0</v>
      </c>
      <c r="I219" s="5">
        <f t="shared" ca="1" si="40"/>
        <v>226</v>
      </c>
      <c r="J219" s="5">
        <f t="shared" ca="1" si="41"/>
        <v>54</v>
      </c>
      <c r="K219" s="5">
        <f t="shared" ca="1" si="42"/>
        <v>0</v>
      </c>
      <c r="L219" s="5">
        <f t="shared" ca="1" si="34"/>
        <v>226</v>
      </c>
      <c r="M219" s="11">
        <f t="shared" ca="1" si="43"/>
        <v>1</v>
      </c>
    </row>
    <row r="220" spans="2:13" x14ac:dyDescent="0.25">
      <c r="B220" s="2">
        <v>213</v>
      </c>
      <c r="C220" s="5">
        <f t="shared" ca="1" si="35"/>
        <v>54</v>
      </c>
      <c r="D220" s="5">
        <f t="shared" ca="1" si="36"/>
        <v>226</v>
      </c>
      <c r="E220" s="5">
        <f t="shared" ca="1" si="37"/>
        <v>280</v>
      </c>
      <c r="F220" s="5">
        <f t="shared" ca="1" si="38"/>
        <v>0</v>
      </c>
      <c r="G220" s="5">
        <f t="shared" ca="1" si="33"/>
        <v>148</v>
      </c>
      <c r="H220" s="5">
        <f t="shared" ca="1" si="39"/>
        <v>0</v>
      </c>
      <c r="I220" s="5">
        <f t="shared" ca="1" si="40"/>
        <v>148</v>
      </c>
      <c r="J220" s="5">
        <f t="shared" ca="1" si="41"/>
        <v>132</v>
      </c>
      <c r="K220" s="5">
        <f t="shared" ca="1" si="42"/>
        <v>0</v>
      </c>
      <c r="L220" s="5">
        <f t="shared" ca="1" si="34"/>
        <v>148</v>
      </c>
      <c r="M220" s="11">
        <f t="shared" ca="1" si="43"/>
        <v>1</v>
      </c>
    </row>
    <row r="221" spans="2:13" x14ac:dyDescent="0.25">
      <c r="B221" s="2">
        <v>214</v>
      </c>
      <c r="C221" s="5">
        <f t="shared" ca="1" si="35"/>
        <v>132</v>
      </c>
      <c r="D221" s="5">
        <f t="shared" ca="1" si="36"/>
        <v>148</v>
      </c>
      <c r="E221" s="5">
        <f t="shared" ca="1" si="37"/>
        <v>280</v>
      </c>
      <c r="F221" s="5">
        <f t="shared" ca="1" si="38"/>
        <v>0</v>
      </c>
      <c r="G221" s="5">
        <f t="shared" ca="1" si="33"/>
        <v>141</v>
      </c>
      <c r="H221" s="5">
        <f t="shared" ca="1" si="39"/>
        <v>0</v>
      </c>
      <c r="I221" s="5">
        <f t="shared" ca="1" si="40"/>
        <v>141</v>
      </c>
      <c r="J221" s="5">
        <f t="shared" ca="1" si="41"/>
        <v>139</v>
      </c>
      <c r="K221" s="5">
        <f t="shared" ca="1" si="42"/>
        <v>0</v>
      </c>
      <c r="L221" s="5">
        <f t="shared" ca="1" si="34"/>
        <v>141</v>
      </c>
      <c r="M221" s="11">
        <f t="shared" ca="1" si="43"/>
        <v>1</v>
      </c>
    </row>
    <row r="222" spans="2:13" x14ac:dyDescent="0.25">
      <c r="B222" s="2">
        <v>215</v>
      </c>
      <c r="C222" s="5">
        <f t="shared" ca="1" si="35"/>
        <v>139</v>
      </c>
      <c r="D222" s="5">
        <f t="shared" ca="1" si="36"/>
        <v>141</v>
      </c>
      <c r="E222" s="5">
        <f t="shared" ca="1" si="37"/>
        <v>280</v>
      </c>
      <c r="F222" s="5">
        <f t="shared" ca="1" si="38"/>
        <v>0</v>
      </c>
      <c r="G222" s="5">
        <f t="shared" ca="1" si="33"/>
        <v>157</v>
      </c>
      <c r="H222" s="5">
        <f t="shared" ca="1" si="39"/>
        <v>0</v>
      </c>
      <c r="I222" s="5">
        <f t="shared" ca="1" si="40"/>
        <v>157</v>
      </c>
      <c r="J222" s="5">
        <f t="shared" ca="1" si="41"/>
        <v>123</v>
      </c>
      <c r="K222" s="5">
        <f t="shared" ca="1" si="42"/>
        <v>0</v>
      </c>
      <c r="L222" s="5">
        <f t="shared" ca="1" si="34"/>
        <v>157</v>
      </c>
      <c r="M222" s="11">
        <f t="shared" ca="1" si="43"/>
        <v>1</v>
      </c>
    </row>
    <row r="223" spans="2:13" x14ac:dyDescent="0.25">
      <c r="B223" s="2">
        <v>216</v>
      </c>
      <c r="C223" s="5">
        <f t="shared" ca="1" si="35"/>
        <v>123</v>
      </c>
      <c r="D223" s="5">
        <f t="shared" ca="1" si="36"/>
        <v>157</v>
      </c>
      <c r="E223" s="5">
        <f t="shared" ca="1" si="37"/>
        <v>280</v>
      </c>
      <c r="F223" s="5">
        <f t="shared" ca="1" si="38"/>
        <v>0</v>
      </c>
      <c r="G223" s="5">
        <f t="shared" ca="1" si="33"/>
        <v>115</v>
      </c>
      <c r="H223" s="5">
        <f t="shared" ca="1" si="39"/>
        <v>0</v>
      </c>
      <c r="I223" s="5">
        <f t="shared" ca="1" si="40"/>
        <v>115</v>
      </c>
      <c r="J223" s="5">
        <f t="shared" ca="1" si="41"/>
        <v>165</v>
      </c>
      <c r="K223" s="5">
        <f t="shared" ca="1" si="42"/>
        <v>0</v>
      </c>
      <c r="L223" s="5">
        <f t="shared" ca="1" si="34"/>
        <v>115</v>
      </c>
      <c r="M223" s="11">
        <f t="shared" ca="1" si="43"/>
        <v>1</v>
      </c>
    </row>
    <row r="224" spans="2:13" x14ac:dyDescent="0.25">
      <c r="B224" s="2">
        <v>217</v>
      </c>
      <c r="C224" s="5">
        <f t="shared" ca="1" si="35"/>
        <v>165</v>
      </c>
      <c r="D224" s="5">
        <f t="shared" ca="1" si="36"/>
        <v>115</v>
      </c>
      <c r="E224" s="5">
        <f t="shared" ca="1" si="37"/>
        <v>280</v>
      </c>
      <c r="F224" s="5">
        <f t="shared" ca="1" si="38"/>
        <v>0</v>
      </c>
      <c r="G224" s="5">
        <f t="shared" ca="1" si="33"/>
        <v>247</v>
      </c>
      <c r="H224" s="5">
        <f t="shared" ca="1" si="39"/>
        <v>0</v>
      </c>
      <c r="I224" s="5">
        <f t="shared" ca="1" si="40"/>
        <v>247</v>
      </c>
      <c r="J224" s="5">
        <f t="shared" ca="1" si="41"/>
        <v>33</v>
      </c>
      <c r="K224" s="5">
        <f t="shared" ca="1" si="42"/>
        <v>0</v>
      </c>
      <c r="L224" s="5">
        <f t="shared" ca="1" si="34"/>
        <v>247</v>
      </c>
      <c r="M224" s="11">
        <f t="shared" ca="1" si="43"/>
        <v>1</v>
      </c>
    </row>
    <row r="225" spans="2:13" x14ac:dyDescent="0.25">
      <c r="B225" s="2">
        <v>218</v>
      </c>
      <c r="C225" s="5">
        <f t="shared" ca="1" si="35"/>
        <v>33</v>
      </c>
      <c r="D225" s="5">
        <f t="shared" ca="1" si="36"/>
        <v>247</v>
      </c>
      <c r="E225" s="5">
        <f t="shared" ca="1" si="37"/>
        <v>280</v>
      </c>
      <c r="F225" s="5">
        <f t="shared" ca="1" si="38"/>
        <v>0</v>
      </c>
      <c r="G225" s="5">
        <f t="shared" ca="1" si="33"/>
        <v>128</v>
      </c>
      <c r="H225" s="5">
        <f t="shared" ca="1" si="39"/>
        <v>0</v>
      </c>
      <c r="I225" s="5">
        <f t="shared" ca="1" si="40"/>
        <v>128</v>
      </c>
      <c r="J225" s="5">
        <f t="shared" ca="1" si="41"/>
        <v>152</v>
      </c>
      <c r="K225" s="5">
        <f t="shared" ca="1" si="42"/>
        <v>0</v>
      </c>
      <c r="L225" s="5">
        <f t="shared" ca="1" si="34"/>
        <v>128</v>
      </c>
      <c r="M225" s="11">
        <f t="shared" ca="1" si="43"/>
        <v>1</v>
      </c>
    </row>
    <row r="226" spans="2:13" x14ac:dyDescent="0.25">
      <c r="B226" s="2">
        <v>219</v>
      </c>
      <c r="C226" s="5">
        <f t="shared" ca="1" si="35"/>
        <v>152</v>
      </c>
      <c r="D226" s="5">
        <f t="shared" ca="1" si="36"/>
        <v>128</v>
      </c>
      <c r="E226" s="5">
        <f t="shared" ca="1" si="37"/>
        <v>280</v>
      </c>
      <c r="F226" s="5">
        <f t="shared" ca="1" si="38"/>
        <v>0</v>
      </c>
      <c r="G226" s="5">
        <f t="shared" ca="1" si="33"/>
        <v>175</v>
      </c>
      <c r="H226" s="5">
        <f t="shared" ca="1" si="39"/>
        <v>0</v>
      </c>
      <c r="I226" s="5">
        <f t="shared" ca="1" si="40"/>
        <v>175</v>
      </c>
      <c r="J226" s="5">
        <f t="shared" ca="1" si="41"/>
        <v>105</v>
      </c>
      <c r="K226" s="5">
        <f t="shared" ca="1" si="42"/>
        <v>0</v>
      </c>
      <c r="L226" s="5">
        <f t="shared" ca="1" si="34"/>
        <v>175</v>
      </c>
      <c r="M226" s="11">
        <f t="shared" ca="1" si="43"/>
        <v>1</v>
      </c>
    </row>
    <row r="227" spans="2:13" x14ac:dyDescent="0.25">
      <c r="B227" s="2">
        <v>220</v>
      </c>
      <c r="C227" s="5">
        <f t="shared" ca="1" si="35"/>
        <v>105</v>
      </c>
      <c r="D227" s="5">
        <f t="shared" ca="1" si="36"/>
        <v>175</v>
      </c>
      <c r="E227" s="5">
        <f t="shared" ca="1" si="37"/>
        <v>280</v>
      </c>
      <c r="F227" s="5">
        <f t="shared" ca="1" si="38"/>
        <v>0</v>
      </c>
      <c r="G227" s="5">
        <f t="shared" ca="1" si="33"/>
        <v>241</v>
      </c>
      <c r="H227" s="5">
        <f t="shared" ca="1" si="39"/>
        <v>0</v>
      </c>
      <c r="I227" s="5">
        <f t="shared" ca="1" si="40"/>
        <v>241</v>
      </c>
      <c r="J227" s="5">
        <f t="shared" ca="1" si="41"/>
        <v>39</v>
      </c>
      <c r="K227" s="5">
        <f t="shared" ca="1" si="42"/>
        <v>0</v>
      </c>
      <c r="L227" s="5">
        <f t="shared" ca="1" si="34"/>
        <v>241</v>
      </c>
      <c r="M227" s="11">
        <f t="shared" ca="1" si="43"/>
        <v>1</v>
      </c>
    </row>
    <row r="228" spans="2:13" x14ac:dyDescent="0.25">
      <c r="B228" s="2">
        <v>221</v>
      </c>
      <c r="C228" s="5">
        <f t="shared" ca="1" si="35"/>
        <v>39</v>
      </c>
      <c r="D228" s="5">
        <f t="shared" ca="1" si="36"/>
        <v>241</v>
      </c>
      <c r="E228" s="5">
        <f t="shared" ca="1" si="37"/>
        <v>280</v>
      </c>
      <c r="F228" s="5">
        <f t="shared" ca="1" si="38"/>
        <v>0</v>
      </c>
      <c r="G228" s="5">
        <f t="shared" ca="1" si="33"/>
        <v>298</v>
      </c>
      <c r="H228" s="5">
        <f t="shared" ca="1" si="39"/>
        <v>0</v>
      </c>
      <c r="I228" s="5">
        <f t="shared" ca="1" si="40"/>
        <v>280</v>
      </c>
      <c r="J228" s="5">
        <f t="shared" ca="1" si="41"/>
        <v>0</v>
      </c>
      <c r="K228" s="5">
        <f t="shared" ca="1" si="42"/>
        <v>18</v>
      </c>
      <c r="L228" s="5">
        <f t="shared" ca="1" si="34"/>
        <v>298</v>
      </c>
      <c r="M228" s="11">
        <f t="shared" ca="1" si="43"/>
        <v>0.93959731543624159</v>
      </c>
    </row>
    <row r="229" spans="2:13" x14ac:dyDescent="0.25">
      <c r="B229" s="2">
        <v>222</v>
      </c>
      <c r="C229" s="5">
        <f t="shared" ca="1" si="35"/>
        <v>0</v>
      </c>
      <c r="D229" s="5">
        <f t="shared" ca="1" si="36"/>
        <v>298</v>
      </c>
      <c r="E229" s="5">
        <f t="shared" ca="1" si="37"/>
        <v>298</v>
      </c>
      <c r="F229" s="5">
        <f t="shared" ca="1" si="38"/>
        <v>18</v>
      </c>
      <c r="G229" s="5">
        <f t="shared" ca="1" si="33"/>
        <v>158</v>
      </c>
      <c r="H229" s="5">
        <f t="shared" ca="1" si="39"/>
        <v>18</v>
      </c>
      <c r="I229" s="5">
        <f t="shared" ca="1" si="40"/>
        <v>158</v>
      </c>
      <c r="J229" s="5">
        <f t="shared" ca="1" si="41"/>
        <v>122</v>
      </c>
      <c r="K229" s="5">
        <f t="shared" ca="1" si="42"/>
        <v>0</v>
      </c>
      <c r="L229" s="5">
        <f t="shared" ca="1" si="34"/>
        <v>158</v>
      </c>
      <c r="M229" s="11">
        <f t="shared" ca="1" si="43"/>
        <v>1</v>
      </c>
    </row>
    <row r="230" spans="2:13" x14ac:dyDescent="0.25">
      <c r="B230" s="2">
        <v>223</v>
      </c>
      <c r="C230" s="5">
        <f t="shared" ca="1" si="35"/>
        <v>122</v>
      </c>
      <c r="D230" s="5">
        <f t="shared" ca="1" si="36"/>
        <v>158</v>
      </c>
      <c r="E230" s="5">
        <f t="shared" ca="1" si="37"/>
        <v>280</v>
      </c>
      <c r="F230" s="5">
        <f t="shared" ca="1" si="38"/>
        <v>0</v>
      </c>
      <c r="G230" s="5">
        <f t="shared" ca="1" si="33"/>
        <v>269</v>
      </c>
      <c r="H230" s="5">
        <f t="shared" ca="1" si="39"/>
        <v>0</v>
      </c>
      <c r="I230" s="5">
        <f t="shared" ca="1" si="40"/>
        <v>269</v>
      </c>
      <c r="J230" s="5">
        <f t="shared" ca="1" si="41"/>
        <v>11</v>
      </c>
      <c r="K230" s="5">
        <f t="shared" ca="1" si="42"/>
        <v>0</v>
      </c>
      <c r="L230" s="5">
        <f t="shared" ca="1" si="34"/>
        <v>269</v>
      </c>
      <c r="M230" s="11">
        <f t="shared" ca="1" si="43"/>
        <v>1</v>
      </c>
    </row>
    <row r="231" spans="2:13" x14ac:dyDescent="0.25">
      <c r="B231" s="2">
        <v>224</v>
      </c>
      <c r="C231" s="5">
        <f t="shared" ca="1" si="35"/>
        <v>11</v>
      </c>
      <c r="D231" s="5">
        <f t="shared" ca="1" si="36"/>
        <v>269</v>
      </c>
      <c r="E231" s="5">
        <f t="shared" ca="1" si="37"/>
        <v>280</v>
      </c>
      <c r="F231" s="5">
        <f t="shared" ca="1" si="38"/>
        <v>0</v>
      </c>
      <c r="G231" s="5">
        <f t="shared" ca="1" si="33"/>
        <v>117</v>
      </c>
      <c r="H231" s="5">
        <f t="shared" ca="1" si="39"/>
        <v>0</v>
      </c>
      <c r="I231" s="5">
        <f t="shared" ca="1" si="40"/>
        <v>117</v>
      </c>
      <c r="J231" s="5">
        <f t="shared" ca="1" si="41"/>
        <v>163</v>
      </c>
      <c r="K231" s="5">
        <f t="shared" ca="1" si="42"/>
        <v>0</v>
      </c>
      <c r="L231" s="5">
        <f t="shared" ca="1" si="34"/>
        <v>117</v>
      </c>
      <c r="M231" s="11">
        <f t="shared" ca="1" si="43"/>
        <v>1</v>
      </c>
    </row>
    <row r="232" spans="2:13" x14ac:dyDescent="0.25">
      <c r="B232" s="2">
        <v>225</v>
      </c>
      <c r="C232" s="5">
        <f t="shared" ca="1" si="35"/>
        <v>163</v>
      </c>
      <c r="D232" s="5">
        <f t="shared" ca="1" si="36"/>
        <v>117</v>
      </c>
      <c r="E232" s="5">
        <f t="shared" ca="1" si="37"/>
        <v>280</v>
      </c>
      <c r="F232" s="5">
        <f t="shared" ca="1" si="38"/>
        <v>0</v>
      </c>
      <c r="G232" s="5">
        <f t="shared" ca="1" si="33"/>
        <v>256</v>
      </c>
      <c r="H232" s="5">
        <f t="shared" ca="1" si="39"/>
        <v>0</v>
      </c>
      <c r="I232" s="5">
        <f t="shared" ca="1" si="40"/>
        <v>256</v>
      </c>
      <c r="J232" s="5">
        <f t="shared" ca="1" si="41"/>
        <v>24</v>
      </c>
      <c r="K232" s="5">
        <f t="shared" ca="1" si="42"/>
        <v>0</v>
      </c>
      <c r="L232" s="5">
        <f t="shared" ca="1" si="34"/>
        <v>256</v>
      </c>
      <c r="M232" s="11">
        <f t="shared" ca="1" si="43"/>
        <v>1</v>
      </c>
    </row>
    <row r="233" spans="2:13" x14ac:dyDescent="0.25">
      <c r="B233" s="2">
        <v>226</v>
      </c>
      <c r="C233" s="5">
        <f t="shared" ca="1" si="35"/>
        <v>24</v>
      </c>
      <c r="D233" s="5">
        <f t="shared" ca="1" si="36"/>
        <v>256</v>
      </c>
      <c r="E233" s="5">
        <f t="shared" ca="1" si="37"/>
        <v>280</v>
      </c>
      <c r="F233" s="5">
        <f t="shared" ca="1" si="38"/>
        <v>0</v>
      </c>
      <c r="G233" s="5">
        <f t="shared" ca="1" si="33"/>
        <v>146</v>
      </c>
      <c r="H233" s="5">
        <f t="shared" ca="1" si="39"/>
        <v>0</v>
      </c>
      <c r="I233" s="5">
        <f t="shared" ca="1" si="40"/>
        <v>146</v>
      </c>
      <c r="J233" s="5">
        <f t="shared" ca="1" si="41"/>
        <v>134</v>
      </c>
      <c r="K233" s="5">
        <f t="shared" ca="1" si="42"/>
        <v>0</v>
      </c>
      <c r="L233" s="5">
        <f t="shared" ca="1" si="34"/>
        <v>146</v>
      </c>
      <c r="M233" s="11">
        <f t="shared" ca="1" si="43"/>
        <v>1</v>
      </c>
    </row>
    <row r="234" spans="2:13" x14ac:dyDescent="0.25">
      <c r="B234" s="2">
        <v>227</v>
      </c>
      <c r="C234" s="5">
        <f t="shared" ca="1" si="35"/>
        <v>134</v>
      </c>
      <c r="D234" s="5">
        <f t="shared" ca="1" si="36"/>
        <v>146</v>
      </c>
      <c r="E234" s="5">
        <f t="shared" ca="1" si="37"/>
        <v>280</v>
      </c>
      <c r="F234" s="5">
        <f t="shared" ca="1" si="38"/>
        <v>0</v>
      </c>
      <c r="G234" s="5">
        <f t="shared" ca="1" si="33"/>
        <v>282</v>
      </c>
      <c r="H234" s="5">
        <f t="shared" ca="1" si="39"/>
        <v>0</v>
      </c>
      <c r="I234" s="5">
        <f t="shared" ca="1" si="40"/>
        <v>280</v>
      </c>
      <c r="J234" s="5">
        <f t="shared" ca="1" si="41"/>
        <v>0</v>
      </c>
      <c r="K234" s="5">
        <f t="shared" ca="1" si="42"/>
        <v>2</v>
      </c>
      <c r="L234" s="5">
        <f t="shared" ca="1" si="34"/>
        <v>282</v>
      </c>
      <c r="M234" s="11">
        <f t="shared" ca="1" si="43"/>
        <v>0.99290780141843971</v>
      </c>
    </row>
    <row r="235" spans="2:13" x14ac:dyDescent="0.25">
      <c r="B235" s="2">
        <v>228</v>
      </c>
      <c r="C235" s="5">
        <f t="shared" ca="1" si="35"/>
        <v>0</v>
      </c>
      <c r="D235" s="5">
        <f t="shared" ca="1" si="36"/>
        <v>282</v>
      </c>
      <c r="E235" s="5">
        <f t="shared" ca="1" si="37"/>
        <v>282</v>
      </c>
      <c r="F235" s="5">
        <f t="shared" ca="1" si="38"/>
        <v>2</v>
      </c>
      <c r="G235" s="5">
        <f t="shared" ca="1" si="33"/>
        <v>270</v>
      </c>
      <c r="H235" s="5">
        <f t="shared" ca="1" si="39"/>
        <v>2</v>
      </c>
      <c r="I235" s="5">
        <f t="shared" ca="1" si="40"/>
        <v>270</v>
      </c>
      <c r="J235" s="5">
        <f t="shared" ca="1" si="41"/>
        <v>10</v>
      </c>
      <c r="K235" s="5">
        <f t="shared" ca="1" si="42"/>
        <v>0</v>
      </c>
      <c r="L235" s="5">
        <f t="shared" ca="1" si="34"/>
        <v>270</v>
      </c>
      <c r="M235" s="11">
        <f t="shared" ca="1" si="43"/>
        <v>1</v>
      </c>
    </row>
    <row r="236" spans="2:13" x14ac:dyDescent="0.25">
      <c r="B236" s="2">
        <v>229</v>
      </c>
      <c r="C236" s="5">
        <f t="shared" ca="1" si="35"/>
        <v>10</v>
      </c>
      <c r="D236" s="5">
        <f t="shared" ca="1" si="36"/>
        <v>270</v>
      </c>
      <c r="E236" s="5">
        <f t="shared" ca="1" si="37"/>
        <v>280</v>
      </c>
      <c r="F236" s="5">
        <f t="shared" ca="1" si="38"/>
        <v>0</v>
      </c>
      <c r="G236" s="5">
        <f t="shared" ca="1" si="33"/>
        <v>275</v>
      </c>
      <c r="H236" s="5">
        <f t="shared" ca="1" si="39"/>
        <v>0</v>
      </c>
      <c r="I236" s="5">
        <f t="shared" ca="1" si="40"/>
        <v>275</v>
      </c>
      <c r="J236" s="5">
        <f t="shared" ca="1" si="41"/>
        <v>5</v>
      </c>
      <c r="K236" s="5">
        <f t="shared" ca="1" si="42"/>
        <v>0</v>
      </c>
      <c r="L236" s="5">
        <f t="shared" ca="1" si="34"/>
        <v>275</v>
      </c>
      <c r="M236" s="11">
        <f t="shared" ca="1" si="43"/>
        <v>1</v>
      </c>
    </row>
    <row r="237" spans="2:13" x14ac:dyDescent="0.25">
      <c r="B237" s="2">
        <v>230</v>
      </c>
      <c r="C237" s="5">
        <f t="shared" ca="1" si="35"/>
        <v>5</v>
      </c>
      <c r="D237" s="5">
        <f t="shared" ca="1" si="36"/>
        <v>275</v>
      </c>
      <c r="E237" s="5">
        <f t="shared" ca="1" si="37"/>
        <v>280</v>
      </c>
      <c r="F237" s="5">
        <f t="shared" ca="1" si="38"/>
        <v>0</v>
      </c>
      <c r="G237" s="5">
        <f t="shared" ca="1" si="33"/>
        <v>101</v>
      </c>
      <c r="H237" s="5">
        <f t="shared" ca="1" si="39"/>
        <v>0</v>
      </c>
      <c r="I237" s="5">
        <f t="shared" ca="1" si="40"/>
        <v>101</v>
      </c>
      <c r="J237" s="5">
        <f t="shared" ca="1" si="41"/>
        <v>179</v>
      </c>
      <c r="K237" s="5">
        <f t="shared" ca="1" si="42"/>
        <v>0</v>
      </c>
      <c r="L237" s="5">
        <f t="shared" ca="1" si="34"/>
        <v>101</v>
      </c>
      <c r="M237" s="11">
        <f t="shared" ca="1" si="43"/>
        <v>1</v>
      </c>
    </row>
    <row r="238" spans="2:13" x14ac:dyDescent="0.25">
      <c r="B238" s="2">
        <v>231</v>
      </c>
      <c r="C238" s="5">
        <f t="shared" ca="1" si="35"/>
        <v>179</v>
      </c>
      <c r="D238" s="5">
        <f t="shared" ca="1" si="36"/>
        <v>101</v>
      </c>
      <c r="E238" s="5">
        <f t="shared" ca="1" si="37"/>
        <v>280</v>
      </c>
      <c r="F238" s="5">
        <f t="shared" ca="1" si="38"/>
        <v>0</v>
      </c>
      <c r="G238" s="5">
        <f t="shared" ca="1" si="33"/>
        <v>259</v>
      </c>
      <c r="H238" s="5">
        <f t="shared" ca="1" si="39"/>
        <v>0</v>
      </c>
      <c r="I238" s="5">
        <f t="shared" ca="1" si="40"/>
        <v>259</v>
      </c>
      <c r="J238" s="5">
        <f t="shared" ca="1" si="41"/>
        <v>21</v>
      </c>
      <c r="K238" s="5">
        <f t="shared" ca="1" si="42"/>
        <v>0</v>
      </c>
      <c r="L238" s="5">
        <f t="shared" ca="1" si="34"/>
        <v>259</v>
      </c>
      <c r="M238" s="11">
        <f t="shared" ca="1" si="43"/>
        <v>1</v>
      </c>
    </row>
    <row r="239" spans="2:13" x14ac:dyDescent="0.25">
      <c r="B239" s="2">
        <v>232</v>
      </c>
      <c r="C239" s="5">
        <f t="shared" ca="1" si="35"/>
        <v>21</v>
      </c>
      <c r="D239" s="5">
        <f t="shared" ca="1" si="36"/>
        <v>259</v>
      </c>
      <c r="E239" s="5">
        <f t="shared" ca="1" si="37"/>
        <v>280</v>
      </c>
      <c r="F239" s="5">
        <f t="shared" ca="1" si="38"/>
        <v>0</v>
      </c>
      <c r="G239" s="5">
        <f t="shared" ca="1" si="33"/>
        <v>131</v>
      </c>
      <c r="H239" s="5">
        <f t="shared" ca="1" si="39"/>
        <v>0</v>
      </c>
      <c r="I239" s="5">
        <f t="shared" ca="1" si="40"/>
        <v>131</v>
      </c>
      <c r="J239" s="5">
        <f t="shared" ca="1" si="41"/>
        <v>149</v>
      </c>
      <c r="K239" s="5">
        <f t="shared" ca="1" si="42"/>
        <v>0</v>
      </c>
      <c r="L239" s="5">
        <f t="shared" ca="1" si="34"/>
        <v>131</v>
      </c>
      <c r="M239" s="11">
        <f t="shared" ca="1" si="43"/>
        <v>1</v>
      </c>
    </row>
    <row r="240" spans="2:13" x14ac:dyDescent="0.25">
      <c r="B240" s="2">
        <v>233</v>
      </c>
      <c r="C240" s="5">
        <f t="shared" ca="1" si="35"/>
        <v>149</v>
      </c>
      <c r="D240" s="5">
        <f t="shared" ca="1" si="36"/>
        <v>131</v>
      </c>
      <c r="E240" s="5">
        <f t="shared" ca="1" si="37"/>
        <v>280</v>
      </c>
      <c r="F240" s="5">
        <f t="shared" ca="1" si="38"/>
        <v>0</v>
      </c>
      <c r="G240" s="5">
        <f t="shared" ca="1" si="33"/>
        <v>209</v>
      </c>
      <c r="H240" s="5">
        <f t="shared" ca="1" si="39"/>
        <v>0</v>
      </c>
      <c r="I240" s="5">
        <f t="shared" ca="1" si="40"/>
        <v>209</v>
      </c>
      <c r="J240" s="5">
        <f t="shared" ca="1" si="41"/>
        <v>71</v>
      </c>
      <c r="K240" s="5">
        <f t="shared" ca="1" si="42"/>
        <v>0</v>
      </c>
      <c r="L240" s="5">
        <f t="shared" ca="1" si="34"/>
        <v>209</v>
      </c>
      <c r="M240" s="11">
        <f t="shared" ca="1" si="43"/>
        <v>1</v>
      </c>
    </row>
    <row r="241" spans="2:13" x14ac:dyDescent="0.25">
      <c r="B241" s="2">
        <v>234</v>
      </c>
      <c r="C241" s="5">
        <f t="shared" ca="1" si="35"/>
        <v>71</v>
      </c>
      <c r="D241" s="5">
        <f t="shared" ca="1" si="36"/>
        <v>209</v>
      </c>
      <c r="E241" s="5">
        <f t="shared" ca="1" si="37"/>
        <v>280</v>
      </c>
      <c r="F241" s="5">
        <f t="shared" ca="1" si="38"/>
        <v>0</v>
      </c>
      <c r="G241" s="5">
        <f t="shared" ca="1" si="33"/>
        <v>119</v>
      </c>
      <c r="H241" s="5">
        <f t="shared" ca="1" si="39"/>
        <v>0</v>
      </c>
      <c r="I241" s="5">
        <f t="shared" ca="1" si="40"/>
        <v>119</v>
      </c>
      <c r="J241" s="5">
        <f t="shared" ca="1" si="41"/>
        <v>161</v>
      </c>
      <c r="K241" s="5">
        <f t="shared" ca="1" si="42"/>
        <v>0</v>
      </c>
      <c r="L241" s="5">
        <f t="shared" ca="1" si="34"/>
        <v>119</v>
      </c>
      <c r="M241" s="11">
        <f t="shared" ca="1" si="43"/>
        <v>1</v>
      </c>
    </row>
    <row r="242" spans="2:13" x14ac:dyDescent="0.25">
      <c r="B242" s="2">
        <v>235</v>
      </c>
      <c r="C242" s="5">
        <f t="shared" ca="1" si="35"/>
        <v>161</v>
      </c>
      <c r="D242" s="5">
        <f t="shared" ca="1" si="36"/>
        <v>119</v>
      </c>
      <c r="E242" s="5">
        <f t="shared" ca="1" si="37"/>
        <v>280</v>
      </c>
      <c r="F242" s="5">
        <f t="shared" ca="1" si="38"/>
        <v>0</v>
      </c>
      <c r="G242" s="5">
        <f t="shared" ca="1" si="33"/>
        <v>136</v>
      </c>
      <c r="H242" s="5">
        <f t="shared" ca="1" si="39"/>
        <v>0</v>
      </c>
      <c r="I242" s="5">
        <f t="shared" ca="1" si="40"/>
        <v>136</v>
      </c>
      <c r="J242" s="5">
        <f t="shared" ca="1" si="41"/>
        <v>144</v>
      </c>
      <c r="K242" s="5">
        <f t="shared" ca="1" si="42"/>
        <v>0</v>
      </c>
      <c r="L242" s="5">
        <f t="shared" ca="1" si="34"/>
        <v>136</v>
      </c>
      <c r="M242" s="11">
        <f t="shared" ca="1" si="43"/>
        <v>1</v>
      </c>
    </row>
    <row r="243" spans="2:13" x14ac:dyDescent="0.25">
      <c r="B243" s="2">
        <v>236</v>
      </c>
      <c r="C243" s="5">
        <f t="shared" ca="1" si="35"/>
        <v>144</v>
      </c>
      <c r="D243" s="5">
        <f t="shared" ca="1" si="36"/>
        <v>136</v>
      </c>
      <c r="E243" s="5">
        <f t="shared" ca="1" si="37"/>
        <v>280</v>
      </c>
      <c r="F243" s="5">
        <f t="shared" ca="1" si="38"/>
        <v>0</v>
      </c>
      <c r="G243" s="5">
        <f t="shared" ca="1" si="33"/>
        <v>139</v>
      </c>
      <c r="H243" s="5">
        <f t="shared" ca="1" si="39"/>
        <v>0</v>
      </c>
      <c r="I243" s="5">
        <f t="shared" ca="1" si="40"/>
        <v>139</v>
      </c>
      <c r="J243" s="5">
        <f t="shared" ca="1" si="41"/>
        <v>141</v>
      </c>
      <c r="K243" s="5">
        <f t="shared" ca="1" si="42"/>
        <v>0</v>
      </c>
      <c r="L243" s="5">
        <f t="shared" ca="1" si="34"/>
        <v>139</v>
      </c>
      <c r="M243" s="11">
        <f t="shared" ca="1" si="43"/>
        <v>1</v>
      </c>
    </row>
    <row r="244" spans="2:13" x14ac:dyDescent="0.25">
      <c r="B244" s="2">
        <v>237</v>
      </c>
      <c r="C244" s="5">
        <f t="shared" ca="1" si="35"/>
        <v>141</v>
      </c>
      <c r="D244" s="5">
        <f t="shared" ca="1" si="36"/>
        <v>139</v>
      </c>
      <c r="E244" s="5">
        <f t="shared" ca="1" si="37"/>
        <v>280</v>
      </c>
      <c r="F244" s="5">
        <f t="shared" ca="1" si="38"/>
        <v>0</v>
      </c>
      <c r="G244" s="5">
        <f t="shared" ca="1" si="33"/>
        <v>240</v>
      </c>
      <c r="H244" s="5">
        <f t="shared" ca="1" si="39"/>
        <v>0</v>
      </c>
      <c r="I244" s="5">
        <f t="shared" ca="1" si="40"/>
        <v>240</v>
      </c>
      <c r="J244" s="5">
        <f t="shared" ca="1" si="41"/>
        <v>40</v>
      </c>
      <c r="K244" s="5">
        <f t="shared" ca="1" si="42"/>
        <v>0</v>
      </c>
      <c r="L244" s="5">
        <f t="shared" ca="1" si="34"/>
        <v>240</v>
      </c>
      <c r="M244" s="11">
        <f t="shared" ca="1" si="43"/>
        <v>1</v>
      </c>
    </row>
    <row r="245" spans="2:13" x14ac:dyDescent="0.25">
      <c r="B245" s="2">
        <v>238</v>
      </c>
      <c r="C245" s="5">
        <f t="shared" ca="1" si="35"/>
        <v>40</v>
      </c>
      <c r="D245" s="5">
        <f t="shared" ca="1" si="36"/>
        <v>240</v>
      </c>
      <c r="E245" s="5">
        <f t="shared" ca="1" si="37"/>
        <v>280</v>
      </c>
      <c r="F245" s="5">
        <f t="shared" ca="1" si="38"/>
        <v>0</v>
      </c>
      <c r="G245" s="5">
        <f t="shared" ca="1" si="33"/>
        <v>150</v>
      </c>
      <c r="H245" s="5">
        <f t="shared" ca="1" si="39"/>
        <v>0</v>
      </c>
      <c r="I245" s="5">
        <f t="shared" ca="1" si="40"/>
        <v>150</v>
      </c>
      <c r="J245" s="5">
        <f t="shared" ca="1" si="41"/>
        <v>130</v>
      </c>
      <c r="K245" s="5">
        <f t="shared" ca="1" si="42"/>
        <v>0</v>
      </c>
      <c r="L245" s="5">
        <f t="shared" ca="1" si="34"/>
        <v>150</v>
      </c>
      <c r="M245" s="11">
        <f t="shared" ca="1" si="43"/>
        <v>1</v>
      </c>
    </row>
    <row r="246" spans="2:13" x14ac:dyDescent="0.25">
      <c r="B246" s="2">
        <v>239</v>
      </c>
      <c r="C246" s="5">
        <f t="shared" ca="1" si="35"/>
        <v>130</v>
      </c>
      <c r="D246" s="5">
        <f t="shared" ca="1" si="36"/>
        <v>150</v>
      </c>
      <c r="E246" s="5">
        <f t="shared" ca="1" si="37"/>
        <v>280</v>
      </c>
      <c r="F246" s="5">
        <f t="shared" ca="1" si="38"/>
        <v>0</v>
      </c>
      <c r="G246" s="5">
        <f t="shared" ca="1" si="33"/>
        <v>152</v>
      </c>
      <c r="H246" s="5">
        <f t="shared" ca="1" si="39"/>
        <v>0</v>
      </c>
      <c r="I246" s="5">
        <f t="shared" ca="1" si="40"/>
        <v>152</v>
      </c>
      <c r="J246" s="5">
        <f t="shared" ca="1" si="41"/>
        <v>128</v>
      </c>
      <c r="K246" s="5">
        <f t="shared" ca="1" si="42"/>
        <v>0</v>
      </c>
      <c r="L246" s="5">
        <f t="shared" ca="1" si="34"/>
        <v>152</v>
      </c>
      <c r="M246" s="11">
        <f t="shared" ca="1" si="43"/>
        <v>1</v>
      </c>
    </row>
    <row r="247" spans="2:13" x14ac:dyDescent="0.25">
      <c r="B247" s="2">
        <v>240</v>
      </c>
      <c r="C247" s="5">
        <f t="shared" ca="1" si="35"/>
        <v>128</v>
      </c>
      <c r="D247" s="5">
        <f t="shared" ca="1" si="36"/>
        <v>152</v>
      </c>
      <c r="E247" s="5">
        <f t="shared" ca="1" si="37"/>
        <v>280</v>
      </c>
      <c r="F247" s="5">
        <f t="shared" ca="1" si="38"/>
        <v>0</v>
      </c>
      <c r="G247" s="5">
        <f t="shared" ca="1" si="33"/>
        <v>100</v>
      </c>
      <c r="H247" s="5">
        <f t="shared" ca="1" si="39"/>
        <v>0</v>
      </c>
      <c r="I247" s="5">
        <f t="shared" ca="1" si="40"/>
        <v>100</v>
      </c>
      <c r="J247" s="5">
        <f t="shared" ca="1" si="41"/>
        <v>180</v>
      </c>
      <c r="K247" s="5">
        <f t="shared" ca="1" si="42"/>
        <v>0</v>
      </c>
      <c r="L247" s="5">
        <f t="shared" ca="1" si="34"/>
        <v>100</v>
      </c>
      <c r="M247" s="11">
        <f t="shared" ca="1" si="43"/>
        <v>1</v>
      </c>
    </row>
    <row r="248" spans="2:13" x14ac:dyDescent="0.25">
      <c r="B248" s="2">
        <v>241</v>
      </c>
      <c r="C248" s="5">
        <f t="shared" ca="1" si="35"/>
        <v>180</v>
      </c>
      <c r="D248" s="5">
        <f t="shared" ca="1" si="36"/>
        <v>100</v>
      </c>
      <c r="E248" s="5">
        <f t="shared" ca="1" si="37"/>
        <v>280</v>
      </c>
      <c r="F248" s="5">
        <f t="shared" ca="1" si="38"/>
        <v>0</v>
      </c>
      <c r="G248" s="5">
        <f t="shared" ca="1" si="33"/>
        <v>173</v>
      </c>
      <c r="H248" s="5">
        <f t="shared" ca="1" si="39"/>
        <v>0</v>
      </c>
      <c r="I248" s="5">
        <f t="shared" ca="1" si="40"/>
        <v>173</v>
      </c>
      <c r="J248" s="5">
        <f t="shared" ca="1" si="41"/>
        <v>107</v>
      </c>
      <c r="K248" s="5">
        <f t="shared" ca="1" si="42"/>
        <v>0</v>
      </c>
      <c r="L248" s="5">
        <f t="shared" ca="1" si="34"/>
        <v>173</v>
      </c>
      <c r="M248" s="11">
        <f t="shared" ca="1" si="43"/>
        <v>1</v>
      </c>
    </row>
    <row r="249" spans="2:13" x14ac:dyDescent="0.25">
      <c r="B249" s="2">
        <v>242</v>
      </c>
      <c r="C249" s="5">
        <f t="shared" ca="1" si="35"/>
        <v>107</v>
      </c>
      <c r="D249" s="5">
        <f t="shared" ca="1" si="36"/>
        <v>173</v>
      </c>
      <c r="E249" s="5">
        <f t="shared" ca="1" si="37"/>
        <v>280</v>
      </c>
      <c r="F249" s="5">
        <f t="shared" ca="1" si="38"/>
        <v>0</v>
      </c>
      <c r="G249" s="5">
        <f t="shared" ca="1" si="33"/>
        <v>182</v>
      </c>
      <c r="H249" s="5">
        <f t="shared" ca="1" si="39"/>
        <v>0</v>
      </c>
      <c r="I249" s="5">
        <f t="shared" ca="1" si="40"/>
        <v>182</v>
      </c>
      <c r="J249" s="5">
        <f t="shared" ca="1" si="41"/>
        <v>98</v>
      </c>
      <c r="K249" s="5">
        <f t="shared" ca="1" si="42"/>
        <v>0</v>
      </c>
      <c r="L249" s="5">
        <f t="shared" ca="1" si="34"/>
        <v>182</v>
      </c>
      <c r="M249" s="11">
        <f t="shared" ca="1" si="43"/>
        <v>1</v>
      </c>
    </row>
    <row r="250" spans="2:13" x14ac:dyDescent="0.25">
      <c r="B250" s="2">
        <v>243</v>
      </c>
      <c r="C250" s="5">
        <f t="shared" ca="1" si="35"/>
        <v>98</v>
      </c>
      <c r="D250" s="5">
        <f t="shared" ca="1" si="36"/>
        <v>182</v>
      </c>
      <c r="E250" s="5">
        <f t="shared" ca="1" si="37"/>
        <v>280</v>
      </c>
      <c r="F250" s="5">
        <f t="shared" ca="1" si="38"/>
        <v>0</v>
      </c>
      <c r="G250" s="5">
        <f t="shared" ca="1" si="33"/>
        <v>226</v>
      </c>
      <c r="H250" s="5">
        <f t="shared" ca="1" si="39"/>
        <v>0</v>
      </c>
      <c r="I250" s="5">
        <f t="shared" ca="1" si="40"/>
        <v>226</v>
      </c>
      <c r="J250" s="5">
        <f t="shared" ca="1" si="41"/>
        <v>54</v>
      </c>
      <c r="K250" s="5">
        <f t="shared" ca="1" si="42"/>
        <v>0</v>
      </c>
      <c r="L250" s="5">
        <f t="shared" ca="1" si="34"/>
        <v>226</v>
      </c>
      <c r="M250" s="11">
        <f t="shared" ca="1" si="43"/>
        <v>1</v>
      </c>
    </row>
    <row r="251" spans="2:13" x14ac:dyDescent="0.25">
      <c r="B251" s="2">
        <v>244</v>
      </c>
      <c r="C251" s="5">
        <f t="shared" ca="1" si="35"/>
        <v>54</v>
      </c>
      <c r="D251" s="5">
        <f t="shared" ca="1" si="36"/>
        <v>226</v>
      </c>
      <c r="E251" s="5">
        <f t="shared" ca="1" si="37"/>
        <v>280</v>
      </c>
      <c r="F251" s="5">
        <f t="shared" ca="1" si="38"/>
        <v>0</v>
      </c>
      <c r="G251" s="5">
        <f t="shared" ca="1" si="33"/>
        <v>296</v>
      </c>
      <c r="H251" s="5">
        <f t="shared" ca="1" si="39"/>
        <v>0</v>
      </c>
      <c r="I251" s="5">
        <f t="shared" ca="1" si="40"/>
        <v>280</v>
      </c>
      <c r="J251" s="5">
        <f t="shared" ca="1" si="41"/>
        <v>0</v>
      </c>
      <c r="K251" s="5">
        <f t="shared" ca="1" si="42"/>
        <v>16</v>
      </c>
      <c r="L251" s="5">
        <f t="shared" ca="1" si="34"/>
        <v>296</v>
      </c>
      <c r="M251" s="11">
        <f t="shared" ca="1" si="43"/>
        <v>0.94594594594594594</v>
      </c>
    </row>
    <row r="252" spans="2:13" x14ac:dyDescent="0.25">
      <c r="B252" s="2">
        <v>245</v>
      </c>
      <c r="C252" s="5">
        <f t="shared" ca="1" si="35"/>
        <v>0</v>
      </c>
      <c r="D252" s="5">
        <f t="shared" ca="1" si="36"/>
        <v>296</v>
      </c>
      <c r="E252" s="5">
        <f t="shared" ca="1" si="37"/>
        <v>296</v>
      </c>
      <c r="F252" s="5">
        <f t="shared" ca="1" si="38"/>
        <v>16</v>
      </c>
      <c r="G252" s="5">
        <f t="shared" ca="1" si="33"/>
        <v>189</v>
      </c>
      <c r="H252" s="5">
        <f t="shared" ca="1" si="39"/>
        <v>16</v>
      </c>
      <c r="I252" s="5">
        <f t="shared" ca="1" si="40"/>
        <v>189</v>
      </c>
      <c r="J252" s="5">
        <f t="shared" ca="1" si="41"/>
        <v>91</v>
      </c>
      <c r="K252" s="5">
        <f t="shared" ca="1" si="42"/>
        <v>0</v>
      </c>
      <c r="L252" s="5">
        <f t="shared" ca="1" si="34"/>
        <v>189</v>
      </c>
      <c r="M252" s="11">
        <f t="shared" ca="1" si="43"/>
        <v>1</v>
      </c>
    </row>
    <row r="253" spans="2:13" x14ac:dyDescent="0.25">
      <c r="B253" s="2">
        <v>246</v>
      </c>
      <c r="C253" s="5">
        <f t="shared" ca="1" si="35"/>
        <v>91</v>
      </c>
      <c r="D253" s="5">
        <f t="shared" ca="1" si="36"/>
        <v>189</v>
      </c>
      <c r="E253" s="5">
        <f t="shared" ca="1" si="37"/>
        <v>280</v>
      </c>
      <c r="F253" s="5">
        <f t="shared" ca="1" si="38"/>
        <v>0</v>
      </c>
      <c r="G253" s="5">
        <f t="shared" ca="1" si="33"/>
        <v>129</v>
      </c>
      <c r="H253" s="5">
        <f t="shared" ca="1" si="39"/>
        <v>0</v>
      </c>
      <c r="I253" s="5">
        <f t="shared" ca="1" si="40"/>
        <v>129</v>
      </c>
      <c r="J253" s="5">
        <f t="shared" ca="1" si="41"/>
        <v>151</v>
      </c>
      <c r="K253" s="5">
        <f t="shared" ca="1" si="42"/>
        <v>0</v>
      </c>
      <c r="L253" s="5">
        <f t="shared" ca="1" si="34"/>
        <v>129</v>
      </c>
      <c r="M253" s="11">
        <f t="shared" ca="1" si="43"/>
        <v>1</v>
      </c>
    </row>
    <row r="254" spans="2:13" x14ac:dyDescent="0.25">
      <c r="B254" s="2">
        <v>247</v>
      </c>
      <c r="C254" s="5">
        <f t="shared" ca="1" si="35"/>
        <v>151</v>
      </c>
      <c r="D254" s="5">
        <f t="shared" ca="1" si="36"/>
        <v>129</v>
      </c>
      <c r="E254" s="5">
        <f t="shared" ca="1" si="37"/>
        <v>280</v>
      </c>
      <c r="F254" s="5">
        <f t="shared" ca="1" si="38"/>
        <v>0</v>
      </c>
      <c r="G254" s="5">
        <f t="shared" ca="1" si="33"/>
        <v>115</v>
      </c>
      <c r="H254" s="5">
        <f t="shared" ca="1" si="39"/>
        <v>0</v>
      </c>
      <c r="I254" s="5">
        <f t="shared" ca="1" si="40"/>
        <v>115</v>
      </c>
      <c r="J254" s="5">
        <f t="shared" ca="1" si="41"/>
        <v>165</v>
      </c>
      <c r="K254" s="5">
        <f t="shared" ca="1" si="42"/>
        <v>0</v>
      </c>
      <c r="L254" s="5">
        <f t="shared" ca="1" si="34"/>
        <v>115</v>
      </c>
      <c r="M254" s="11">
        <f t="shared" ca="1" si="43"/>
        <v>1</v>
      </c>
    </row>
    <row r="255" spans="2:13" x14ac:dyDescent="0.25">
      <c r="B255" s="2">
        <v>248</v>
      </c>
      <c r="C255" s="5">
        <f t="shared" ca="1" si="35"/>
        <v>165</v>
      </c>
      <c r="D255" s="5">
        <f t="shared" ca="1" si="36"/>
        <v>115</v>
      </c>
      <c r="E255" s="5">
        <f t="shared" ca="1" si="37"/>
        <v>280</v>
      </c>
      <c r="F255" s="5">
        <f t="shared" ca="1" si="38"/>
        <v>0</v>
      </c>
      <c r="G255" s="5">
        <f t="shared" ca="1" si="33"/>
        <v>133</v>
      </c>
      <c r="H255" s="5">
        <f t="shared" ca="1" si="39"/>
        <v>0</v>
      </c>
      <c r="I255" s="5">
        <f t="shared" ca="1" si="40"/>
        <v>133</v>
      </c>
      <c r="J255" s="5">
        <f t="shared" ca="1" si="41"/>
        <v>147</v>
      </c>
      <c r="K255" s="5">
        <f t="shared" ca="1" si="42"/>
        <v>0</v>
      </c>
      <c r="L255" s="5">
        <f t="shared" ca="1" si="34"/>
        <v>133</v>
      </c>
      <c r="M255" s="11">
        <f t="shared" ca="1" si="43"/>
        <v>1</v>
      </c>
    </row>
    <row r="256" spans="2:13" x14ac:dyDescent="0.25">
      <c r="B256" s="2">
        <v>249</v>
      </c>
      <c r="C256" s="5">
        <f t="shared" ca="1" si="35"/>
        <v>147</v>
      </c>
      <c r="D256" s="5">
        <f t="shared" ca="1" si="36"/>
        <v>133</v>
      </c>
      <c r="E256" s="5">
        <f t="shared" ca="1" si="37"/>
        <v>280</v>
      </c>
      <c r="F256" s="5">
        <f t="shared" ca="1" si="38"/>
        <v>0</v>
      </c>
      <c r="G256" s="5">
        <f t="shared" ca="1" si="33"/>
        <v>194</v>
      </c>
      <c r="H256" s="5">
        <f t="shared" ca="1" si="39"/>
        <v>0</v>
      </c>
      <c r="I256" s="5">
        <f t="shared" ca="1" si="40"/>
        <v>194</v>
      </c>
      <c r="J256" s="5">
        <f t="shared" ca="1" si="41"/>
        <v>86</v>
      </c>
      <c r="K256" s="5">
        <f t="shared" ca="1" si="42"/>
        <v>0</v>
      </c>
      <c r="L256" s="5">
        <f t="shared" ca="1" si="34"/>
        <v>194</v>
      </c>
      <c r="M256" s="11">
        <f t="shared" ca="1" si="43"/>
        <v>1</v>
      </c>
    </row>
    <row r="257" spans="2:13" x14ac:dyDescent="0.25">
      <c r="B257" s="2">
        <v>250</v>
      </c>
      <c r="C257" s="5">
        <f t="shared" ca="1" si="35"/>
        <v>86</v>
      </c>
      <c r="D257" s="5">
        <f t="shared" ca="1" si="36"/>
        <v>194</v>
      </c>
      <c r="E257" s="5">
        <f t="shared" ca="1" si="37"/>
        <v>280</v>
      </c>
      <c r="F257" s="5">
        <f t="shared" ca="1" si="38"/>
        <v>0</v>
      </c>
      <c r="G257" s="5">
        <f t="shared" ca="1" si="33"/>
        <v>107</v>
      </c>
      <c r="H257" s="5">
        <f t="shared" ca="1" si="39"/>
        <v>0</v>
      </c>
      <c r="I257" s="5">
        <f t="shared" ca="1" si="40"/>
        <v>107</v>
      </c>
      <c r="J257" s="5">
        <f t="shared" ca="1" si="41"/>
        <v>173</v>
      </c>
      <c r="K257" s="5">
        <f t="shared" ca="1" si="42"/>
        <v>0</v>
      </c>
      <c r="L257" s="5">
        <f t="shared" ca="1" si="34"/>
        <v>107</v>
      </c>
      <c r="M257" s="11">
        <f t="shared" ca="1" si="43"/>
        <v>1</v>
      </c>
    </row>
    <row r="258" spans="2:13" x14ac:dyDescent="0.25">
      <c r="B258" s="2">
        <v>251</v>
      </c>
      <c r="C258" s="5">
        <f t="shared" ca="1" si="35"/>
        <v>173</v>
      </c>
      <c r="D258" s="5">
        <f t="shared" ca="1" si="36"/>
        <v>107</v>
      </c>
      <c r="E258" s="5">
        <f t="shared" ca="1" si="37"/>
        <v>280</v>
      </c>
      <c r="F258" s="5">
        <f t="shared" ca="1" si="38"/>
        <v>0</v>
      </c>
      <c r="G258" s="5">
        <f t="shared" ca="1" si="33"/>
        <v>258</v>
      </c>
      <c r="H258" s="5">
        <f t="shared" ca="1" si="39"/>
        <v>0</v>
      </c>
      <c r="I258" s="5">
        <f t="shared" ca="1" si="40"/>
        <v>258</v>
      </c>
      <c r="J258" s="5">
        <f t="shared" ca="1" si="41"/>
        <v>22</v>
      </c>
      <c r="K258" s="5">
        <f t="shared" ca="1" si="42"/>
        <v>0</v>
      </c>
      <c r="L258" s="5">
        <f t="shared" ca="1" si="34"/>
        <v>258</v>
      </c>
      <c r="M258" s="11">
        <f t="shared" ca="1" si="43"/>
        <v>1</v>
      </c>
    </row>
    <row r="259" spans="2:13" x14ac:dyDescent="0.25">
      <c r="B259" s="2">
        <v>252</v>
      </c>
      <c r="C259" s="5">
        <f t="shared" ca="1" si="35"/>
        <v>22</v>
      </c>
      <c r="D259" s="5">
        <f t="shared" ca="1" si="36"/>
        <v>258</v>
      </c>
      <c r="E259" s="5">
        <f t="shared" ca="1" si="37"/>
        <v>280</v>
      </c>
      <c r="F259" s="5">
        <f t="shared" ca="1" si="38"/>
        <v>0</v>
      </c>
      <c r="G259" s="5">
        <f t="shared" ca="1" si="33"/>
        <v>209</v>
      </c>
      <c r="H259" s="5">
        <f t="shared" ca="1" si="39"/>
        <v>0</v>
      </c>
      <c r="I259" s="5">
        <f t="shared" ca="1" si="40"/>
        <v>209</v>
      </c>
      <c r="J259" s="5">
        <f t="shared" ca="1" si="41"/>
        <v>71</v>
      </c>
      <c r="K259" s="5">
        <f t="shared" ca="1" si="42"/>
        <v>0</v>
      </c>
      <c r="L259" s="5">
        <f t="shared" ca="1" si="34"/>
        <v>209</v>
      </c>
      <c r="M259" s="11">
        <f t="shared" ca="1" si="43"/>
        <v>1</v>
      </c>
    </row>
    <row r="260" spans="2:13" x14ac:dyDescent="0.25">
      <c r="B260" s="2">
        <v>253</v>
      </c>
      <c r="C260" s="5">
        <f t="shared" ca="1" si="35"/>
        <v>71</v>
      </c>
      <c r="D260" s="5">
        <f t="shared" ca="1" si="36"/>
        <v>209</v>
      </c>
      <c r="E260" s="5">
        <f t="shared" ca="1" si="37"/>
        <v>280</v>
      </c>
      <c r="F260" s="5">
        <f t="shared" ca="1" si="38"/>
        <v>0</v>
      </c>
      <c r="G260" s="5">
        <f t="shared" ca="1" si="33"/>
        <v>152</v>
      </c>
      <c r="H260" s="5">
        <f t="shared" ca="1" si="39"/>
        <v>0</v>
      </c>
      <c r="I260" s="5">
        <f t="shared" ca="1" si="40"/>
        <v>152</v>
      </c>
      <c r="J260" s="5">
        <f t="shared" ca="1" si="41"/>
        <v>128</v>
      </c>
      <c r="K260" s="5">
        <f t="shared" ca="1" si="42"/>
        <v>0</v>
      </c>
      <c r="L260" s="5">
        <f t="shared" ca="1" si="34"/>
        <v>152</v>
      </c>
      <c r="M260" s="11">
        <f t="shared" ca="1" si="43"/>
        <v>1</v>
      </c>
    </row>
    <row r="261" spans="2:13" x14ac:dyDescent="0.25">
      <c r="B261" s="2">
        <v>254</v>
      </c>
      <c r="C261" s="5">
        <f t="shared" ca="1" si="35"/>
        <v>128</v>
      </c>
      <c r="D261" s="5">
        <f t="shared" ca="1" si="36"/>
        <v>152</v>
      </c>
      <c r="E261" s="5">
        <f t="shared" ca="1" si="37"/>
        <v>280</v>
      </c>
      <c r="F261" s="5">
        <f t="shared" ca="1" si="38"/>
        <v>0</v>
      </c>
      <c r="G261" s="5">
        <f t="shared" ca="1" si="33"/>
        <v>166</v>
      </c>
      <c r="H261" s="5">
        <f t="shared" ca="1" si="39"/>
        <v>0</v>
      </c>
      <c r="I261" s="5">
        <f t="shared" ca="1" si="40"/>
        <v>166</v>
      </c>
      <c r="J261" s="5">
        <f t="shared" ca="1" si="41"/>
        <v>114</v>
      </c>
      <c r="K261" s="5">
        <f t="shared" ca="1" si="42"/>
        <v>0</v>
      </c>
      <c r="L261" s="5">
        <f t="shared" ca="1" si="34"/>
        <v>166</v>
      </c>
      <c r="M261" s="11">
        <f t="shared" ca="1" si="43"/>
        <v>1</v>
      </c>
    </row>
    <row r="262" spans="2:13" x14ac:dyDescent="0.25">
      <c r="B262" s="2">
        <v>255</v>
      </c>
      <c r="C262" s="5">
        <f t="shared" ca="1" si="35"/>
        <v>114</v>
      </c>
      <c r="D262" s="5">
        <f t="shared" ca="1" si="36"/>
        <v>166</v>
      </c>
      <c r="E262" s="5">
        <f t="shared" ca="1" si="37"/>
        <v>280</v>
      </c>
      <c r="F262" s="5">
        <f t="shared" ca="1" si="38"/>
        <v>0</v>
      </c>
      <c r="G262" s="5">
        <f t="shared" ca="1" si="33"/>
        <v>288</v>
      </c>
      <c r="H262" s="5">
        <f t="shared" ca="1" si="39"/>
        <v>0</v>
      </c>
      <c r="I262" s="5">
        <f t="shared" ca="1" si="40"/>
        <v>280</v>
      </c>
      <c r="J262" s="5">
        <f t="shared" ca="1" si="41"/>
        <v>0</v>
      </c>
      <c r="K262" s="5">
        <f t="shared" ca="1" si="42"/>
        <v>8</v>
      </c>
      <c r="L262" s="5">
        <f t="shared" ca="1" si="34"/>
        <v>288</v>
      </c>
      <c r="M262" s="11">
        <f t="shared" ca="1" si="43"/>
        <v>0.97222222222222221</v>
      </c>
    </row>
    <row r="263" spans="2:13" x14ac:dyDescent="0.25">
      <c r="B263" s="2">
        <v>256</v>
      </c>
      <c r="C263" s="5">
        <f t="shared" ca="1" si="35"/>
        <v>0</v>
      </c>
      <c r="D263" s="5">
        <f t="shared" ca="1" si="36"/>
        <v>288</v>
      </c>
      <c r="E263" s="5">
        <f t="shared" ca="1" si="37"/>
        <v>288</v>
      </c>
      <c r="F263" s="5">
        <f t="shared" ca="1" si="38"/>
        <v>8</v>
      </c>
      <c r="G263" s="5">
        <f t="shared" ca="1" si="33"/>
        <v>153</v>
      </c>
      <c r="H263" s="5">
        <f t="shared" ca="1" si="39"/>
        <v>8</v>
      </c>
      <c r="I263" s="5">
        <f t="shared" ca="1" si="40"/>
        <v>153</v>
      </c>
      <c r="J263" s="5">
        <f t="shared" ca="1" si="41"/>
        <v>127</v>
      </c>
      <c r="K263" s="5">
        <f t="shared" ca="1" si="42"/>
        <v>0</v>
      </c>
      <c r="L263" s="5">
        <f t="shared" ca="1" si="34"/>
        <v>153</v>
      </c>
      <c r="M263" s="11">
        <f t="shared" ca="1" si="43"/>
        <v>1</v>
      </c>
    </row>
    <row r="264" spans="2:13" x14ac:dyDescent="0.25">
      <c r="B264" s="2">
        <v>257</v>
      </c>
      <c r="C264" s="5">
        <f t="shared" ca="1" si="35"/>
        <v>127</v>
      </c>
      <c r="D264" s="5">
        <f t="shared" ca="1" si="36"/>
        <v>153</v>
      </c>
      <c r="E264" s="5">
        <f t="shared" ca="1" si="37"/>
        <v>280</v>
      </c>
      <c r="F264" s="5">
        <f t="shared" ca="1" si="38"/>
        <v>0</v>
      </c>
      <c r="G264" s="5">
        <f t="shared" ref="G264:G327" ca="1" si="44">RANDBETWEEN(DemandMin,DemandMax)</f>
        <v>249</v>
      </c>
      <c r="H264" s="5">
        <f t="shared" ca="1" si="39"/>
        <v>0</v>
      </c>
      <c r="I264" s="5">
        <f t="shared" ca="1" si="40"/>
        <v>249</v>
      </c>
      <c r="J264" s="5">
        <f t="shared" ca="1" si="41"/>
        <v>31</v>
      </c>
      <c r="K264" s="5">
        <f t="shared" ca="1" si="42"/>
        <v>0</v>
      </c>
      <c r="L264" s="5">
        <f t="shared" ref="L264:L327" ca="1" si="45">MAX(0,BaseStock-(J264-K264))</f>
        <v>249</v>
      </c>
      <c r="M264" s="11">
        <f t="shared" ca="1" si="43"/>
        <v>1</v>
      </c>
    </row>
    <row r="265" spans="2:13" x14ac:dyDescent="0.25">
      <c r="B265" s="2">
        <v>258</v>
      </c>
      <c r="C265" s="5">
        <f t="shared" ref="C265:C328" ca="1" si="46">J264</f>
        <v>31</v>
      </c>
      <c r="D265" s="5">
        <f t="shared" ref="D265:D328" ca="1" si="47">L264</f>
        <v>249</v>
      </c>
      <c r="E265" s="5">
        <f t="shared" ref="E265:E328" ca="1" si="48">SUM(C265:D265)</f>
        <v>280</v>
      </c>
      <c r="F265" s="5">
        <f t="shared" ref="F265:F328" ca="1" si="49">K264</f>
        <v>0</v>
      </c>
      <c r="G265" s="5">
        <f t="shared" ca="1" si="44"/>
        <v>203</v>
      </c>
      <c r="H265" s="5">
        <f t="shared" ref="H265:H328" ca="1" si="50">MIN(F265,E265)</f>
        <v>0</v>
      </c>
      <c r="I265" s="5">
        <f t="shared" ref="I265:I328" ca="1" si="51">MIN(G265,E265-H265)</f>
        <v>203</v>
      </c>
      <c r="J265" s="5">
        <f t="shared" ref="J265:J328" ca="1" si="52">E265-H265-I265</f>
        <v>77</v>
      </c>
      <c r="K265" s="5">
        <f t="shared" ref="K265:K328" ca="1" si="53">F265+G265-H265-I265</f>
        <v>0</v>
      </c>
      <c r="L265" s="5">
        <f t="shared" ca="1" si="45"/>
        <v>203</v>
      </c>
      <c r="M265" s="11">
        <f t="shared" ref="M265:M328" ca="1" si="54">IFERROR(I265/G265,1)</f>
        <v>1</v>
      </c>
    </row>
    <row r="266" spans="2:13" x14ac:dyDescent="0.25">
      <c r="B266" s="2">
        <v>259</v>
      </c>
      <c r="C266" s="5">
        <f t="shared" ca="1" si="46"/>
        <v>77</v>
      </c>
      <c r="D266" s="5">
        <f t="shared" ca="1" si="47"/>
        <v>203</v>
      </c>
      <c r="E266" s="5">
        <f t="shared" ca="1" si="48"/>
        <v>280</v>
      </c>
      <c r="F266" s="5">
        <f t="shared" ca="1" si="49"/>
        <v>0</v>
      </c>
      <c r="G266" s="5">
        <f t="shared" ca="1" si="44"/>
        <v>298</v>
      </c>
      <c r="H266" s="5">
        <f t="shared" ca="1" si="50"/>
        <v>0</v>
      </c>
      <c r="I266" s="5">
        <f t="shared" ca="1" si="51"/>
        <v>280</v>
      </c>
      <c r="J266" s="5">
        <f t="shared" ca="1" si="52"/>
        <v>0</v>
      </c>
      <c r="K266" s="5">
        <f t="shared" ca="1" si="53"/>
        <v>18</v>
      </c>
      <c r="L266" s="5">
        <f t="shared" ca="1" si="45"/>
        <v>298</v>
      </c>
      <c r="M266" s="11">
        <f t="shared" ca="1" si="54"/>
        <v>0.93959731543624159</v>
      </c>
    </row>
    <row r="267" spans="2:13" x14ac:dyDescent="0.25">
      <c r="B267" s="2">
        <v>260</v>
      </c>
      <c r="C267" s="5">
        <f t="shared" ca="1" si="46"/>
        <v>0</v>
      </c>
      <c r="D267" s="5">
        <f t="shared" ca="1" si="47"/>
        <v>298</v>
      </c>
      <c r="E267" s="5">
        <f t="shared" ca="1" si="48"/>
        <v>298</v>
      </c>
      <c r="F267" s="5">
        <f t="shared" ca="1" si="49"/>
        <v>18</v>
      </c>
      <c r="G267" s="5">
        <f t="shared" ca="1" si="44"/>
        <v>259</v>
      </c>
      <c r="H267" s="5">
        <f t="shared" ca="1" si="50"/>
        <v>18</v>
      </c>
      <c r="I267" s="5">
        <f t="shared" ca="1" si="51"/>
        <v>259</v>
      </c>
      <c r="J267" s="5">
        <f t="shared" ca="1" si="52"/>
        <v>21</v>
      </c>
      <c r="K267" s="5">
        <f t="shared" ca="1" si="53"/>
        <v>0</v>
      </c>
      <c r="L267" s="5">
        <f t="shared" ca="1" si="45"/>
        <v>259</v>
      </c>
      <c r="M267" s="11">
        <f t="shared" ca="1" si="54"/>
        <v>1</v>
      </c>
    </row>
    <row r="268" spans="2:13" x14ac:dyDescent="0.25">
      <c r="B268" s="2">
        <v>261</v>
      </c>
      <c r="C268" s="5">
        <f t="shared" ca="1" si="46"/>
        <v>21</v>
      </c>
      <c r="D268" s="5">
        <f t="shared" ca="1" si="47"/>
        <v>259</v>
      </c>
      <c r="E268" s="5">
        <f t="shared" ca="1" si="48"/>
        <v>280</v>
      </c>
      <c r="F268" s="5">
        <f t="shared" ca="1" si="49"/>
        <v>0</v>
      </c>
      <c r="G268" s="5">
        <f t="shared" ca="1" si="44"/>
        <v>278</v>
      </c>
      <c r="H268" s="5">
        <f t="shared" ca="1" si="50"/>
        <v>0</v>
      </c>
      <c r="I268" s="5">
        <f t="shared" ca="1" si="51"/>
        <v>278</v>
      </c>
      <c r="J268" s="5">
        <f t="shared" ca="1" si="52"/>
        <v>2</v>
      </c>
      <c r="K268" s="5">
        <f t="shared" ca="1" si="53"/>
        <v>0</v>
      </c>
      <c r="L268" s="5">
        <f t="shared" ca="1" si="45"/>
        <v>278</v>
      </c>
      <c r="M268" s="11">
        <f t="shared" ca="1" si="54"/>
        <v>1</v>
      </c>
    </row>
    <row r="269" spans="2:13" x14ac:dyDescent="0.25">
      <c r="B269" s="2">
        <v>262</v>
      </c>
      <c r="C269" s="5">
        <f t="shared" ca="1" si="46"/>
        <v>2</v>
      </c>
      <c r="D269" s="5">
        <f t="shared" ca="1" si="47"/>
        <v>278</v>
      </c>
      <c r="E269" s="5">
        <f t="shared" ca="1" si="48"/>
        <v>280</v>
      </c>
      <c r="F269" s="5">
        <f t="shared" ca="1" si="49"/>
        <v>0</v>
      </c>
      <c r="G269" s="5">
        <f t="shared" ca="1" si="44"/>
        <v>217</v>
      </c>
      <c r="H269" s="5">
        <f t="shared" ca="1" si="50"/>
        <v>0</v>
      </c>
      <c r="I269" s="5">
        <f t="shared" ca="1" si="51"/>
        <v>217</v>
      </c>
      <c r="J269" s="5">
        <f t="shared" ca="1" si="52"/>
        <v>63</v>
      </c>
      <c r="K269" s="5">
        <f t="shared" ca="1" si="53"/>
        <v>0</v>
      </c>
      <c r="L269" s="5">
        <f t="shared" ca="1" si="45"/>
        <v>217</v>
      </c>
      <c r="M269" s="11">
        <f t="shared" ca="1" si="54"/>
        <v>1</v>
      </c>
    </row>
    <row r="270" spans="2:13" x14ac:dyDescent="0.25">
      <c r="B270" s="2">
        <v>263</v>
      </c>
      <c r="C270" s="5">
        <f t="shared" ca="1" si="46"/>
        <v>63</v>
      </c>
      <c r="D270" s="5">
        <f t="shared" ca="1" si="47"/>
        <v>217</v>
      </c>
      <c r="E270" s="5">
        <f t="shared" ca="1" si="48"/>
        <v>280</v>
      </c>
      <c r="F270" s="5">
        <f t="shared" ca="1" si="49"/>
        <v>0</v>
      </c>
      <c r="G270" s="5">
        <f t="shared" ca="1" si="44"/>
        <v>171</v>
      </c>
      <c r="H270" s="5">
        <f t="shared" ca="1" si="50"/>
        <v>0</v>
      </c>
      <c r="I270" s="5">
        <f t="shared" ca="1" si="51"/>
        <v>171</v>
      </c>
      <c r="J270" s="5">
        <f t="shared" ca="1" si="52"/>
        <v>109</v>
      </c>
      <c r="K270" s="5">
        <f t="shared" ca="1" si="53"/>
        <v>0</v>
      </c>
      <c r="L270" s="5">
        <f t="shared" ca="1" si="45"/>
        <v>171</v>
      </c>
      <c r="M270" s="11">
        <f t="shared" ca="1" si="54"/>
        <v>1</v>
      </c>
    </row>
    <row r="271" spans="2:13" x14ac:dyDescent="0.25">
      <c r="B271" s="2">
        <v>264</v>
      </c>
      <c r="C271" s="5">
        <f t="shared" ca="1" si="46"/>
        <v>109</v>
      </c>
      <c r="D271" s="5">
        <f t="shared" ca="1" si="47"/>
        <v>171</v>
      </c>
      <c r="E271" s="5">
        <f t="shared" ca="1" si="48"/>
        <v>280</v>
      </c>
      <c r="F271" s="5">
        <f t="shared" ca="1" si="49"/>
        <v>0</v>
      </c>
      <c r="G271" s="5">
        <f t="shared" ca="1" si="44"/>
        <v>296</v>
      </c>
      <c r="H271" s="5">
        <f t="shared" ca="1" si="50"/>
        <v>0</v>
      </c>
      <c r="I271" s="5">
        <f t="shared" ca="1" si="51"/>
        <v>280</v>
      </c>
      <c r="J271" s="5">
        <f t="shared" ca="1" si="52"/>
        <v>0</v>
      </c>
      <c r="K271" s="5">
        <f t="shared" ca="1" si="53"/>
        <v>16</v>
      </c>
      <c r="L271" s="5">
        <f t="shared" ca="1" si="45"/>
        <v>296</v>
      </c>
      <c r="M271" s="11">
        <f t="shared" ca="1" si="54"/>
        <v>0.94594594594594594</v>
      </c>
    </row>
    <row r="272" spans="2:13" x14ac:dyDescent="0.25">
      <c r="B272" s="2">
        <v>265</v>
      </c>
      <c r="C272" s="5">
        <f t="shared" ca="1" si="46"/>
        <v>0</v>
      </c>
      <c r="D272" s="5">
        <f t="shared" ca="1" si="47"/>
        <v>296</v>
      </c>
      <c r="E272" s="5">
        <f t="shared" ca="1" si="48"/>
        <v>296</v>
      </c>
      <c r="F272" s="5">
        <f t="shared" ca="1" si="49"/>
        <v>16</v>
      </c>
      <c r="G272" s="5">
        <f t="shared" ca="1" si="44"/>
        <v>235</v>
      </c>
      <c r="H272" s="5">
        <f t="shared" ca="1" si="50"/>
        <v>16</v>
      </c>
      <c r="I272" s="5">
        <f t="shared" ca="1" si="51"/>
        <v>235</v>
      </c>
      <c r="J272" s="5">
        <f t="shared" ca="1" si="52"/>
        <v>45</v>
      </c>
      <c r="K272" s="5">
        <f t="shared" ca="1" si="53"/>
        <v>0</v>
      </c>
      <c r="L272" s="5">
        <f t="shared" ca="1" si="45"/>
        <v>235</v>
      </c>
      <c r="M272" s="11">
        <f t="shared" ca="1" si="54"/>
        <v>1</v>
      </c>
    </row>
    <row r="273" spans="2:13" x14ac:dyDescent="0.25">
      <c r="B273" s="2">
        <v>266</v>
      </c>
      <c r="C273" s="5">
        <f t="shared" ca="1" si="46"/>
        <v>45</v>
      </c>
      <c r="D273" s="5">
        <f t="shared" ca="1" si="47"/>
        <v>235</v>
      </c>
      <c r="E273" s="5">
        <f t="shared" ca="1" si="48"/>
        <v>280</v>
      </c>
      <c r="F273" s="5">
        <f t="shared" ca="1" si="49"/>
        <v>0</v>
      </c>
      <c r="G273" s="5">
        <f t="shared" ca="1" si="44"/>
        <v>283</v>
      </c>
      <c r="H273" s="5">
        <f t="shared" ca="1" si="50"/>
        <v>0</v>
      </c>
      <c r="I273" s="5">
        <f t="shared" ca="1" si="51"/>
        <v>280</v>
      </c>
      <c r="J273" s="5">
        <f t="shared" ca="1" si="52"/>
        <v>0</v>
      </c>
      <c r="K273" s="5">
        <f t="shared" ca="1" si="53"/>
        <v>3</v>
      </c>
      <c r="L273" s="5">
        <f t="shared" ca="1" si="45"/>
        <v>283</v>
      </c>
      <c r="M273" s="11">
        <f t="shared" ca="1" si="54"/>
        <v>0.98939929328621912</v>
      </c>
    </row>
    <row r="274" spans="2:13" x14ac:dyDescent="0.25">
      <c r="B274" s="2">
        <v>267</v>
      </c>
      <c r="C274" s="5">
        <f t="shared" ca="1" si="46"/>
        <v>0</v>
      </c>
      <c r="D274" s="5">
        <f t="shared" ca="1" si="47"/>
        <v>283</v>
      </c>
      <c r="E274" s="5">
        <f t="shared" ca="1" si="48"/>
        <v>283</v>
      </c>
      <c r="F274" s="5">
        <f t="shared" ca="1" si="49"/>
        <v>3</v>
      </c>
      <c r="G274" s="5">
        <f t="shared" ca="1" si="44"/>
        <v>266</v>
      </c>
      <c r="H274" s="5">
        <f t="shared" ca="1" si="50"/>
        <v>3</v>
      </c>
      <c r="I274" s="5">
        <f t="shared" ca="1" si="51"/>
        <v>266</v>
      </c>
      <c r="J274" s="5">
        <f t="shared" ca="1" si="52"/>
        <v>14</v>
      </c>
      <c r="K274" s="5">
        <f t="shared" ca="1" si="53"/>
        <v>0</v>
      </c>
      <c r="L274" s="5">
        <f t="shared" ca="1" si="45"/>
        <v>266</v>
      </c>
      <c r="M274" s="11">
        <f t="shared" ca="1" si="54"/>
        <v>1</v>
      </c>
    </row>
    <row r="275" spans="2:13" x14ac:dyDescent="0.25">
      <c r="B275" s="2">
        <v>268</v>
      </c>
      <c r="C275" s="5">
        <f t="shared" ca="1" si="46"/>
        <v>14</v>
      </c>
      <c r="D275" s="5">
        <f t="shared" ca="1" si="47"/>
        <v>266</v>
      </c>
      <c r="E275" s="5">
        <f t="shared" ca="1" si="48"/>
        <v>280</v>
      </c>
      <c r="F275" s="5">
        <f t="shared" ca="1" si="49"/>
        <v>0</v>
      </c>
      <c r="G275" s="5">
        <f t="shared" ca="1" si="44"/>
        <v>287</v>
      </c>
      <c r="H275" s="5">
        <f t="shared" ca="1" si="50"/>
        <v>0</v>
      </c>
      <c r="I275" s="5">
        <f t="shared" ca="1" si="51"/>
        <v>280</v>
      </c>
      <c r="J275" s="5">
        <f t="shared" ca="1" si="52"/>
        <v>0</v>
      </c>
      <c r="K275" s="5">
        <f t="shared" ca="1" si="53"/>
        <v>7</v>
      </c>
      <c r="L275" s="5">
        <f t="shared" ca="1" si="45"/>
        <v>287</v>
      </c>
      <c r="M275" s="11">
        <f t="shared" ca="1" si="54"/>
        <v>0.97560975609756095</v>
      </c>
    </row>
    <row r="276" spans="2:13" x14ac:dyDescent="0.25">
      <c r="B276" s="2">
        <v>269</v>
      </c>
      <c r="C276" s="5">
        <f t="shared" ca="1" si="46"/>
        <v>0</v>
      </c>
      <c r="D276" s="5">
        <f t="shared" ca="1" si="47"/>
        <v>287</v>
      </c>
      <c r="E276" s="5">
        <f t="shared" ca="1" si="48"/>
        <v>287</v>
      </c>
      <c r="F276" s="5">
        <f t="shared" ca="1" si="49"/>
        <v>7</v>
      </c>
      <c r="G276" s="5">
        <f t="shared" ca="1" si="44"/>
        <v>300</v>
      </c>
      <c r="H276" s="5">
        <f t="shared" ca="1" si="50"/>
        <v>7</v>
      </c>
      <c r="I276" s="5">
        <f t="shared" ca="1" si="51"/>
        <v>280</v>
      </c>
      <c r="J276" s="5">
        <f t="shared" ca="1" si="52"/>
        <v>0</v>
      </c>
      <c r="K276" s="5">
        <f t="shared" ca="1" si="53"/>
        <v>20</v>
      </c>
      <c r="L276" s="5">
        <f t="shared" ca="1" si="45"/>
        <v>300</v>
      </c>
      <c r="M276" s="11">
        <f t="shared" ca="1" si="54"/>
        <v>0.93333333333333335</v>
      </c>
    </row>
    <row r="277" spans="2:13" x14ac:dyDescent="0.25">
      <c r="B277" s="2">
        <v>270</v>
      </c>
      <c r="C277" s="5">
        <f t="shared" ca="1" si="46"/>
        <v>0</v>
      </c>
      <c r="D277" s="5">
        <f t="shared" ca="1" si="47"/>
        <v>300</v>
      </c>
      <c r="E277" s="5">
        <f t="shared" ca="1" si="48"/>
        <v>300</v>
      </c>
      <c r="F277" s="5">
        <f t="shared" ca="1" si="49"/>
        <v>20</v>
      </c>
      <c r="G277" s="5">
        <f t="shared" ca="1" si="44"/>
        <v>246</v>
      </c>
      <c r="H277" s="5">
        <f t="shared" ca="1" si="50"/>
        <v>20</v>
      </c>
      <c r="I277" s="5">
        <f t="shared" ca="1" si="51"/>
        <v>246</v>
      </c>
      <c r="J277" s="5">
        <f t="shared" ca="1" si="52"/>
        <v>34</v>
      </c>
      <c r="K277" s="5">
        <f t="shared" ca="1" si="53"/>
        <v>0</v>
      </c>
      <c r="L277" s="5">
        <f t="shared" ca="1" si="45"/>
        <v>246</v>
      </c>
      <c r="M277" s="11">
        <f t="shared" ca="1" si="54"/>
        <v>1</v>
      </c>
    </row>
    <row r="278" spans="2:13" x14ac:dyDescent="0.25">
      <c r="B278" s="2">
        <v>271</v>
      </c>
      <c r="C278" s="5">
        <f t="shared" ca="1" si="46"/>
        <v>34</v>
      </c>
      <c r="D278" s="5">
        <f t="shared" ca="1" si="47"/>
        <v>246</v>
      </c>
      <c r="E278" s="5">
        <f t="shared" ca="1" si="48"/>
        <v>280</v>
      </c>
      <c r="F278" s="5">
        <f t="shared" ca="1" si="49"/>
        <v>0</v>
      </c>
      <c r="G278" s="5">
        <f t="shared" ca="1" si="44"/>
        <v>205</v>
      </c>
      <c r="H278" s="5">
        <f t="shared" ca="1" si="50"/>
        <v>0</v>
      </c>
      <c r="I278" s="5">
        <f t="shared" ca="1" si="51"/>
        <v>205</v>
      </c>
      <c r="J278" s="5">
        <f t="shared" ca="1" si="52"/>
        <v>75</v>
      </c>
      <c r="K278" s="5">
        <f t="shared" ca="1" si="53"/>
        <v>0</v>
      </c>
      <c r="L278" s="5">
        <f t="shared" ca="1" si="45"/>
        <v>205</v>
      </c>
      <c r="M278" s="11">
        <f t="shared" ca="1" si="54"/>
        <v>1</v>
      </c>
    </row>
    <row r="279" spans="2:13" x14ac:dyDescent="0.25">
      <c r="B279" s="2">
        <v>272</v>
      </c>
      <c r="C279" s="5">
        <f t="shared" ca="1" si="46"/>
        <v>75</v>
      </c>
      <c r="D279" s="5">
        <f t="shared" ca="1" si="47"/>
        <v>205</v>
      </c>
      <c r="E279" s="5">
        <f t="shared" ca="1" si="48"/>
        <v>280</v>
      </c>
      <c r="F279" s="5">
        <f t="shared" ca="1" si="49"/>
        <v>0</v>
      </c>
      <c r="G279" s="5">
        <f t="shared" ca="1" si="44"/>
        <v>110</v>
      </c>
      <c r="H279" s="5">
        <f t="shared" ca="1" si="50"/>
        <v>0</v>
      </c>
      <c r="I279" s="5">
        <f t="shared" ca="1" si="51"/>
        <v>110</v>
      </c>
      <c r="J279" s="5">
        <f t="shared" ca="1" si="52"/>
        <v>170</v>
      </c>
      <c r="K279" s="5">
        <f t="shared" ca="1" si="53"/>
        <v>0</v>
      </c>
      <c r="L279" s="5">
        <f t="shared" ca="1" si="45"/>
        <v>110</v>
      </c>
      <c r="M279" s="11">
        <f t="shared" ca="1" si="54"/>
        <v>1</v>
      </c>
    </row>
    <row r="280" spans="2:13" x14ac:dyDescent="0.25">
      <c r="B280" s="2">
        <v>273</v>
      </c>
      <c r="C280" s="5">
        <f t="shared" ca="1" si="46"/>
        <v>170</v>
      </c>
      <c r="D280" s="5">
        <f t="shared" ca="1" si="47"/>
        <v>110</v>
      </c>
      <c r="E280" s="5">
        <f t="shared" ca="1" si="48"/>
        <v>280</v>
      </c>
      <c r="F280" s="5">
        <f t="shared" ca="1" si="49"/>
        <v>0</v>
      </c>
      <c r="G280" s="5">
        <f t="shared" ca="1" si="44"/>
        <v>237</v>
      </c>
      <c r="H280" s="5">
        <f t="shared" ca="1" si="50"/>
        <v>0</v>
      </c>
      <c r="I280" s="5">
        <f t="shared" ca="1" si="51"/>
        <v>237</v>
      </c>
      <c r="J280" s="5">
        <f t="shared" ca="1" si="52"/>
        <v>43</v>
      </c>
      <c r="K280" s="5">
        <f t="shared" ca="1" si="53"/>
        <v>0</v>
      </c>
      <c r="L280" s="5">
        <f t="shared" ca="1" si="45"/>
        <v>237</v>
      </c>
      <c r="M280" s="11">
        <f t="shared" ca="1" si="54"/>
        <v>1</v>
      </c>
    </row>
    <row r="281" spans="2:13" x14ac:dyDescent="0.25">
      <c r="B281" s="2">
        <v>274</v>
      </c>
      <c r="C281" s="5">
        <f t="shared" ca="1" si="46"/>
        <v>43</v>
      </c>
      <c r="D281" s="5">
        <f t="shared" ca="1" si="47"/>
        <v>237</v>
      </c>
      <c r="E281" s="5">
        <f t="shared" ca="1" si="48"/>
        <v>280</v>
      </c>
      <c r="F281" s="5">
        <f t="shared" ca="1" si="49"/>
        <v>0</v>
      </c>
      <c r="G281" s="5">
        <f t="shared" ca="1" si="44"/>
        <v>292</v>
      </c>
      <c r="H281" s="5">
        <f t="shared" ca="1" si="50"/>
        <v>0</v>
      </c>
      <c r="I281" s="5">
        <f t="shared" ca="1" si="51"/>
        <v>280</v>
      </c>
      <c r="J281" s="5">
        <f t="shared" ca="1" si="52"/>
        <v>0</v>
      </c>
      <c r="K281" s="5">
        <f t="shared" ca="1" si="53"/>
        <v>12</v>
      </c>
      <c r="L281" s="5">
        <f t="shared" ca="1" si="45"/>
        <v>292</v>
      </c>
      <c r="M281" s="11">
        <f t="shared" ca="1" si="54"/>
        <v>0.95890410958904104</v>
      </c>
    </row>
    <row r="282" spans="2:13" x14ac:dyDescent="0.25">
      <c r="B282" s="2">
        <v>275</v>
      </c>
      <c r="C282" s="5">
        <f t="shared" ca="1" si="46"/>
        <v>0</v>
      </c>
      <c r="D282" s="5">
        <f t="shared" ca="1" si="47"/>
        <v>292</v>
      </c>
      <c r="E282" s="5">
        <f t="shared" ca="1" si="48"/>
        <v>292</v>
      </c>
      <c r="F282" s="5">
        <f t="shared" ca="1" si="49"/>
        <v>12</v>
      </c>
      <c r="G282" s="5">
        <f t="shared" ca="1" si="44"/>
        <v>198</v>
      </c>
      <c r="H282" s="5">
        <f t="shared" ca="1" si="50"/>
        <v>12</v>
      </c>
      <c r="I282" s="5">
        <f t="shared" ca="1" si="51"/>
        <v>198</v>
      </c>
      <c r="J282" s="5">
        <f t="shared" ca="1" si="52"/>
        <v>82</v>
      </c>
      <c r="K282" s="5">
        <f t="shared" ca="1" si="53"/>
        <v>0</v>
      </c>
      <c r="L282" s="5">
        <f t="shared" ca="1" si="45"/>
        <v>198</v>
      </c>
      <c r="M282" s="11">
        <f t="shared" ca="1" si="54"/>
        <v>1</v>
      </c>
    </row>
    <row r="283" spans="2:13" x14ac:dyDescent="0.25">
      <c r="B283" s="2">
        <v>276</v>
      </c>
      <c r="C283" s="5">
        <f t="shared" ca="1" si="46"/>
        <v>82</v>
      </c>
      <c r="D283" s="5">
        <f t="shared" ca="1" si="47"/>
        <v>198</v>
      </c>
      <c r="E283" s="5">
        <f t="shared" ca="1" si="48"/>
        <v>280</v>
      </c>
      <c r="F283" s="5">
        <f t="shared" ca="1" si="49"/>
        <v>0</v>
      </c>
      <c r="G283" s="5">
        <f t="shared" ca="1" si="44"/>
        <v>204</v>
      </c>
      <c r="H283" s="5">
        <f t="shared" ca="1" si="50"/>
        <v>0</v>
      </c>
      <c r="I283" s="5">
        <f t="shared" ca="1" si="51"/>
        <v>204</v>
      </c>
      <c r="J283" s="5">
        <f t="shared" ca="1" si="52"/>
        <v>76</v>
      </c>
      <c r="K283" s="5">
        <f t="shared" ca="1" si="53"/>
        <v>0</v>
      </c>
      <c r="L283" s="5">
        <f t="shared" ca="1" si="45"/>
        <v>204</v>
      </c>
      <c r="M283" s="11">
        <f t="shared" ca="1" si="54"/>
        <v>1</v>
      </c>
    </row>
    <row r="284" spans="2:13" x14ac:dyDescent="0.25">
      <c r="B284" s="2">
        <v>277</v>
      </c>
      <c r="C284" s="5">
        <f t="shared" ca="1" si="46"/>
        <v>76</v>
      </c>
      <c r="D284" s="5">
        <f t="shared" ca="1" si="47"/>
        <v>204</v>
      </c>
      <c r="E284" s="5">
        <f t="shared" ca="1" si="48"/>
        <v>280</v>
      </c>
      <c r="F284" s="5">
        <f t="shared" ca="1" si="49"/>
        <v>0</v>
      </c>
      <c r="G284" s="5">
        <f t="shared" ca="1" si="44"/>
        <v>220</v>
      </c>
      <c r="H284" s="5">
        <f t="shared" ca="1" si="50"/>
        <v>0</v>
      </c>
      <c r="I284" s="5">
        <f t="shared" ca="1" si="51"/>
        <v>220</v>
      </c>
      <c r="J284" s="5">
        <f t="shared" ca="1" si="52"/>
        <v>60</v>
      </c>
      <c r="K284" s="5">
        <f t="shared" ca="1" si="53"/>
        <v>0</v>
      </c>
      <c r="L284" s="5">
        <f t="shared" ca="1" si="45"/>
        <v>220</v>
      </c>
      <c r="M284" s="11">
        <f t="shared" ca="1" si="54"/>
        <v>1</v>
      </c>
    </row>
    <row r="285" spans="2:13" x14ac:dyDescent="0.25">
      <c r="B285" s="2">
        <v>278</v>
      </c>
      <c r="C285" s="5">
        <f t="shared" ca="1" si="46"/>
        <v>60</v>
      </c>
      <c r="D285" s="5">
        <f t="shared" ca="1" si="47"/>
        <v>220</v>
      </c>
      <c r="E285" s="5">
        <f t="shared" ca="1" si="48"/>
        <v>280</v>
      </c>
      <c r="F285" s="5">
        <f t="shared" ca="1" si="49"/>
        <v>0</v>
      </c>
      <c r="G285" s="5">
        <f t="shared" ca="1" si="44"/>
        <v>177</v>
      </c>
      <c r="H285" s="5">
        <f t="shared" ca="1" si="50"/>
        <v>0</v>
      </c>
      <c r="I285" s="5">
        <f t="shared" ca="1" si="51"/>
        <v>177</v>
      </c>
      <c r="J285" s="5">
        <f t="shared" ca="1" si="52"/>
        <v>103</v>
      </c>
      <c r="K285" s="5">
        <f t="shared" ca="1" si="53"/>
        <v>0</v>
      </c>
      <c r="L285" s="5">
        <f t="shared" ca="1" si="45"/>
        <v>177</v>
      </c>
      <c r="M285" s="11">
        <f t="shared" ca="1" si="54"/>
        <v>1</v>
      </c>
    </row>
    <row r="286" spans="2:13" x14ac:dyDescent="0.25">
      <c r="B286" s="2">
        <v>279</v>
      </c>
      <c r="C286" s="5">
        <f t="shared" ca="1" si="46"/>
        <v>103</v>
      </c>
      <c r="D286" s="5">
        <f t="shared" ca="1" si="47"/>
        <v>177</v>
      </c>
      <c r="E286" s="5">
        <f t="shared" ca="1" si="48"/>
        <v>280</v>
      </c>
      <c r="F286" s="5">
        <f t="shared" ca="1" si="49"/>
        <v>0</v>
      </c>
      <c r="G286" s="5">
        <f t="shared" ca="1" si="44"/>
        <v>159</v>
      </c>
      <c r="H286" s="5">
        <f t="shared" ca="1" si="50"/>
        <v>0</v>
      </c>
      <c r="I286" s="5">
        <f t="shared" ca="1" si="51"/>
        <v>159</v>
      </c>
      <c r="J286" s="5">
        <f t="shared" ca="1" si="52"/>
        <v>121</v>
      </c>
      <c r="K286" s="5">
        <f t="shared" ca="1" si="53"/>
        <v>0</v>
      </c>
      <c r="L286" s="5">
        <f t="shared" ca="1" si="45"/>
        <v>159</v>
      </c>
      <c r="M286" s="11">
        <f t="shared" ca="1" si="54"/>
        <v>1</v>
      </c>
    </row>
    <row r="287" spans="2:13" x14ac:dyDescent="0.25">
      <c r="B287" s="2">
        <v>280</v>
      </c>
      <c r="C287" s="5">
        <f t="shared" ca="1" si="46"/>
        <v>121</v>
      </c>
      <c r="D287" s="5">
        <f t="shared" ca="1" si="47"/>
        <v>159</v>
      </c>
      <c r="E287" s="5">
        <f t="shared" ca="1" si="48"/>
        <v>280</v>
      </c>
      <c r="F287" s="5">
        <f t="shared" ca="1" si="49"/>
        <v>0</v>
      </c>
      <c r="G287" s="5">
        <f t="shared" ca="1" si="44"/>
        <v>191</v>
      </c>
      <c r="H287" s="5">
        <f t="shared" ca="1" si="50"/>
        <v>0</v>
      </c>
      <c r="I287" s="5">
        <f t="shared" ca="1" si="51"/>
        <v>191</v>
      </c>
      <c r="J287" s="5">
        <f t="shared" ca="1" si="52"/>
        <v>89</v>
      </c>
      <c r="K287" s="5">
        <f t="shared" ca="1" si="53"/>
        <v>0</v>
      </c>
      <c r="L287" s="5">
        <f t="shared" ca="1" si="45"/>
        <v>191</v>
      </c>
      <c r="M287" s="11">
        <f t="shared" ca="1" si="54"/>
        <v>1</v>
      </c>
    </row>
    <row r="288" spans="2:13" x14ac:dyDescent="0.25">
      <c r="B288" s="2">
        <v>281</v>
      </c>
      <c r="C288" s="5">
        <f t="shared" ca="1" si="46"/>
        <v>89</v>
      </c>
      <c r="D288" s="5">
        <f t="shared" ca="1" si="47"/>
        <v>191</v>
      </c>
      <c r="E288" s="5">
        <f t="shared" ca="1" si="48"/>
        <v>280</v>
      </c>
      <c r="F288" s="5">
        <f t="shared" ca="1" si="49"/>
        <v>0</v>
      </c>
      <c r="G288" s="5">
        <f t="shared" ca="1" si="44"/>
        <v>129</v>
      </c>
      <c r="H288" s="5">
        <f t="shared" ca="1" si="50"/>
        <v>0</v>
      </c>
      <c r="I288" s="5">
        <f t="shared" ca="1" si="51"/>
        <v>129</v>
      </c>
      <c r="J288" s="5">
        <f t="shared" ca="1" si="52"/>
        <v>151</v>
      </c>
      <c r="K288" s="5">
        <f t="shared" ca="1" si="53"/>
        <v>0</v>
      </c>
      <c r="L288" s="5">
        <f t="shared" ca="1" si="45"/>
        <v>129</v>
      </c>
      <c r="M288" s="11">
        <f t="shared" ca="1" si="54"/>
        <v>1</v>
      </c>
    </row>
    <row r="289" spans="2:13" x14ac:dyDescent="0.25">
      <c r="B289" s="2">
        <v>282</v>
      </c>
      <c r="C289" s="5">
        <f t="shared" ca="1" si="46"/>
        <v>151</v>
      </c>
      <c r="D289" s="5">
        <f t="shared" ca="1" si="47"/>
        <v>129</v>
      </c>
      <c r="E289" s="5">
        <f t="shared" ca="1" si="48"/>
        <v>280</v>
      </c>
      <c r="F289" s="5">
        <f t="shared" ca="1" si="49"/>
        <v>0</v>
      </c>
      <c r="G289" s="5">
        <f t="shared" ca="1" si="44"/>
        <v>115</v>
      </c>
      <c r="H289" s="5">
        <f t="shared" ca="1" si="50"/>
        <v>0</v>
      </c>
      <c r="I289" s="5">
        <f t="shared" ca="1" si="51"/>
        <v>115</v>
      </c>
      <c r="J289" s="5">
        <f t="shared" ca="1" si="52"/>
        <v>165</v>
      </c>
      <c r="K289" s="5">
        <f t="shared" ca="1" si="53"/>
        <v>0</v>
      </c>
      <c r="L289" s="5">
        <f t="shared" ca="1" si="45"/>
        <v>115</v>
      </c>
      <c r="M289" s="11">
        <f t="shared" ca="1" si="54"/>
        <v>1</v>
      </c>
    </row>
    <row r="290" spans="2:13" x14ac:dyDescent="0.25">
      <c r="B290" s="2">
        <v>283</v>
      </c>
      <c r="C290" s="5">
        <f t="shared" ca="1" si="46"/>
        <v>165</v>
      </c>
      <c r="D290" s="5">
        <f t="shared" ca="1" si="47"/>
        <v>115</v>
      </c>
      <c r="E290" s="5">
        <f t="shared" ca="1" si="48"/>
        <v>280</v>
      </c>
      <c r="F290" s="5">
        <f t="shared" ca="1" si="49"/>
        <v>0</v>
      </c>
      <c r="G290" s="5">
        <f t="shared" ca="1" si="44"/>
        <v>192</v>
      </c>
      <c r="H290" s="5">
        <f t="shared" ca="1" si="50"/>
        <v>0</v>
      </c>
      <c r="I290" s="5">
        <f t="shared" ca="1" si="51"/>
        <v>192</v>
      </c>
      <c r="J290" s="5">
        <f t="shared" ca="1" si="52"/>
        <v>88</v>
      </c>
      <c r="K290" s="5">
        <f t="shared" ca="1" si="53"/>
        <v>0</v>
      </c>
      <c r="L290" s="5">
        <f t="shared" ca="1" si="45"/>
        <v>192</v>
      </c>
      <c r="M290" s="11">
        <f t="shared" ca="1" si="54"/>
        <v>1</v>
      </c>
    </row>
    <row r="291" spans="2:13" x14ac:dyDescent="0.25">
      <c r="B291" s="2">
        <v>284</v>
      </c>
      <c r="C291" s="5">
        <f t="shared" ca="1" si="46"/>
        <v>88</v>
      </c>
      <c r="D291" s="5">
        <f t="shared" ca="1" si="47"/>
        <v>192</v>
      </c>
      <c r="E291" s="5">
        <f t="shared" ca="1" si="48"/>
        <v>280</v>
      </c>
      <c r="F291" s="5">
        <f t="shared" ca="1" si="49"/>
        <v>0</v>
      </c>
      <c r="G291" s="5">
        <f t="shared" ca="1" si="44"/>
        <v>252</v>
      </c>
      <c r="H291" s="5">
        <f t="shared" ca="1" si="50"/>
        <v>0</v>
      </c>
      <c r="I291" s="5">
        <f t="shared" ca="1" si="51"/>
        <v>252</v>
      </c>
      <c r="J291" s="5">
        <f t="shared" ca="1" si="52"/>
        <v>28</v>
      </c>
      <c r="K291" s="5">
        <f t="shared" ca="1" si="53"/>
        <v>0</v>
      </c>
      <c r="L291" s="5">
        <f t="shared" ca="1" si="45"/>
        <v>252</v>
      </c>
      <c r="M291" s="11">
        <f t="shared" ca="1" si="54"/>
        <v>1</v>
      </c>
    </row>
    <row r="292" spans="2:13" x14ac:dyDescent="0.25">
      <c r="B292" s="2">
        <v>285</v>
      </c>
      <c r="C292" s="5">
        <f t="shared" ca="1" si="46"/>
        <v>28</v>
      </c>
      <c r="D292" s="5">
        <f t="shared" ca="1" si="47"/>
        <v>252</v>
      </c>
      <c r="E292" s="5">
        <f t="shared" ca="1" si="48"/>
        <v>280</v>
      </c>
      <c r="F292" s="5">
        <f t="shared" ca="1" si="49"/>
        <v>0</v>
      </c>
      <c r="G292" s="5">
        <f t="shared" ca="1" si="44"/>
        <v>275</v>
      </c>
      <c r="H292" s="5">
        <f t="shared" ca="1" si="50"/>
        <v>0</v>
      </c>
      <c r="I292" s="5">
        <f t="shared" ca="1" si="51"/>
        <v>275</v>
      </c>
      <c r="J292" s="5">
        <f t="shared" ca="1" si="52"/>
        <v>5</v>
      </c>
      <c r="K292" s="5">
        <f t="shared" ca="1" si="53"/>
        <v>0</v>
      </c>
      <c r="L292" s="5">
        <f t="shared" ca="1" si="45"/>
        <v>275</v>
      </c>
      <c r="M292" s="11">
        <f t="shared" ca="1" si="54"/>
        <v>1</v>
      </c>
    </row>
    <row r="293" spans="2:13" x14ac:dyDescent="0.25">
      <c r="B293" s="2">
        <v>286</v>
      </c>
      <c r="C293" s="5">
        <f t="shared" ca="1" si="46"/>
        <v>5</v>
      </c>
      <c r="D293" s="5">
        <f t="shared" ca="1" si="47"/>
        <v>275</v>
      </c>
      <c r="E293" s="5">
        <f t="shared" ca="1" si="48"/>
        <v>280</v>
      </c>
      <c r="F293" s="5">
        <f t="shared" ca="1" si="49"/>
        <v>0</v>
      </c>
      <c r="G293" s="5">
        <f t="shared" ca="1" si="44"/>
        <v>216</v>
      </c>
      <c r="H293" s="5">
        <f t="shared" ca="1" si="50"/>
        <v>0</v>
      </c>
      <c r="I293" s="5">
        <f t="shared" ca="1" si="51"/>
        <v>216</v>
      </c>
      <c r="J293" s="5">
        <f t="shared" ca="1" si="52"/>
        <v>64</v>
      </c>
      <c r="K293" s="5">
        <f t="shared" ca="1" si="53"/>
        <v>0</v>
      </c>
      <c r="L293" s="5">
        <f t="shared" ca="1" si="45"/>
        <v>216</v>
      </c>
      <c r="M293" s="11">
        <f t="shared" ca="1" si="54"/>
        <v>1</v>
      </c>
    </row>
    <row r="294" spans="2:13" x14ac:dyDescent="0.25">
      <c r="B294" s="2">
        <v>287</v>
      </c>
      <c r="C294" s="5">
        <f t="shared" ca="1" si="46"/>
        <v>64</v>
      </c>
      <c r="D294" s="5">
        <f t="shared" ca="1" si="47"/>
        <v>216</v>
      </c>
      <c r="E294" s="5">
        <f t="shared" ca="1" si="48"/>
        <v>280</v>
      </c>
      <c r="F294" s="5">
        <f t="shared" ca="1" si="49"/>
        <v>0</v>
      </c>
      <c r="G294" s="5">
        <f t="shared" ca="1" si="44"/>
        <v>202</v>
      </c>
      <c r="H294" s="5">
        <f t="shared" ca="1" si="50"/>
        <v>0</v>
      </c>
      <c r="I294" s="5">
        <f t="shared" ca="1" si="51"/>
        <v>202</v>
      </c>
      <c r="J294" s="5">
        <f t="shared" ca="1" si="52"/>
        <v>78</v>
      </c>
      <c r="K294" s="5">
        <f t="shared" ca="1" si="53"/>
        <v>0</v>
      </c>
      <c r="L294" s="5">
        <f t="shared" ca="1" si="45"/>
        <v>202</v>
      </c>
      <c r="M294" s="11">
        <f t="shared" ca="1" si="54"/>
        <v>1</v>
      </c>
    </row>
    <row r="295" spans="2:13" x14ac:dyDescent="0.25">
      <c r="B295" s="2">
        <v>288</v>
      </c>
      <c r="C295" s="5">
        <f t="shared" ca="1" si="46"/>
        <v>78</v>
      </c>
      <c r="D295" s="5">
        <f t="shared" ca="1" si="47"/>
        <v>202</v>
      </c>
      <c r="E295" s="5">
        <f t="shared" ca="1" si="48"/>
        <v>280</v>
      </c>
      <c r="F295" s="5">
        <f t="shared" ca="1" si="49"/>
        <v>0</v>
      </c>
      <c r="G295" s="5">
        <f t="shared" ca="1" si="44"/>
        <v>184</v>
      </c>
      <c r="H295" s="5">
        <f t="shared" ca="1" si="50"/>
        <v>0</v>
      </c>
      <c r="I295" s="5">
        <f t="shared" ca="1" si="51"/>
        <v>184</v>
      </c>
      <c r="J295" s="5">
        <f t="shared" ca="1" si="52"/>
        <v>96</v>
      </c>
      <c r="K295" s="5">
        <f t="shared" ca="1" si="53"/>
        <v>0</v>
      </c>
      <c r="L295" s="5">
        <f t="shared" ca="1" si="45"/>
        <v>184</v>
      </c>
      <c r="M295" s="11">
        <f t="shared" ca="1" si="54"/>
        <v>1</v>
      </c>
    </row>
    <row r="296" spans="2:13" x14ac:dyDescent="0.25">
      <c r="B296" s="2">
        <v>289</v>
      </c>
      <c r="C296" s="5">
        <f t="shared" ca="1" si="46"/>
        <v>96</v>
      </c>
      <c r="D296" s="5">
        <f t="shared" ca="1" si="47"/>
        <v>184</v>
      </c>
      <c r="E296" s="5">
        <f t="shared" ca="1" si="48"/>
        <v>280</v>
      </c>
      <c r="F296" s="5">
        <f t="shared" ca="1" si="49"/>
        <v>0</v>
      </c>
      <c r="G296" s="5">
        <f t="shared" ca="1" si="44"/>
        <v>264</v>
      </c>
      <c r="H296" s="5">
        <f t="shared" ca="1" si="50"/>
        <v>0</v>
      </c>
      <c r="I296" s="5">
        <f t="shared" ca="1" si="51"/>
        <v>264</v>
      </c>
      <c r="J296" s="5">
        <f t="shared" ca="1" si="52"/>
        <v>16</v>
      </c>
      <c r="K296" s="5">
        <f t="shared" ca="1" si="53"/>
        <v>0</v>
      </c>
      <c r="L296" s="5">
        <f t="shared" ca="1" si="45"/>
        <v>264</v>
      </c>
      <c r="M296" s="11">
        <f t="shared" ca="1" si="54"/>
        <v>1</v>
      </c>
    </row>
    <row r="297" spans="2:13" x14ac:dyDescent="0.25">
      <c r="B297" s="2">
        <v>290</v>
      </c>
      <c r="C297" s="5">
        <f t="shared" ca="1" si="46"/>
        <v>16</v>
      </c>
      <c r="D297" s="5">
        <f t="shared" ca="1" si="47"/>
        <v>264</v>
      </c>
      <c r="E297" s="5">
        <f t="shared" ca="1" si="48"/>
        <v>280</v>
      </c>
      <c r="F297" s="5">
        <f t="shared" ca="1" si="49"/>
        <v>0</v>
      </c>
      <c r="G297" s="5">
        <f t="shared" ca="1" si="44"/>
        <v>155</v>
      </c>
      <c r="H297" s="5">
        <f t="shared" ca="1" si="50"/>
        <v>0</v>
      </c>
      <c r="I297" s="5">
        <f t="shared" ca="1" si="51"/>
        <v>155</v>
      </c>
      <c r="J297" s="5">
        <f t="shared" ca="1" si="52"/>
        <v>125</v>
      </c>
      <c r="K297" s="5">
        <f t="shared" ca="1" si="53"/>
        <v>0</v>
      </c>
      <c r="L297" s="5">
        <f t="shared" ca="1" si="45"/>
        <v>155</v>
      </c>
      <c r="M297" s="11">
        <f t="shared" ca="1" si="54"/>
        <v>1</v>
      </c>
    </row>
    <row r="298" spans="2:13" x14ac:dyDescent="0.25">
      <c r="B298" s="2">
        <v>291</v>
      </c>
      <c r="C298" s="5">
        <f t="shared" ca="1" si="46"/>
        <v>125</v>
      </c>
      <c r="D298" s="5">
        <f t="shared" ca="1" si="47"/>
        <v>155</v>
      </c>
      <c r="E298" s="5">
        <f t="shared" ca="1" si="48"/>
        <v>280</v>
      </c>
      <c r="F298" s="5">
        <f t="shared" ca="1" si="49"/>
        <v>0</v>
      </c>
      <c r="G298" s="5">
        <f t="shared" ca="1" si="44"/>
        <v>186</v>
      </c>
      <c r="H298" s="5">
        <f t="shared" ca="1" si="50"/>
        <v>0</v>
      </c>
      <c r="I298" s="5">
        <f t="shared" ca="1" si="51"/>
        <v>186</v>
      </c>
      <c r="J298" s="5">
        <f t="shared" ca="1" si="52"/>
        <v>94</v>
      </c>
      <c r="K298" s="5">
        <f t="shared" ca="1" si="53"/>
        <v>0</v>
      </c>
      <c r="L298" s="5">
        <f t="shared" ca="1" si="45"/>
        <v>186</v>
      </c>
      <c r="M298" s="11">
        <f t="shared" ca="1" si="54"/>
        <v>1</v>
      </c>
    </row>
    <row r="299" spans="2:13" x14ac:dyDescent="0.25">
      <c r="B299" s="2">
        <v>292</v>
      </c>
      <c r="C299" s="5">
        <f t="shared" ca="1" si="46"/>
        <v>94</v>
      </c>
      <c r="D299" s="5">
        <f t="shared" ca="1" si="47"/>
        <v>186</v>
      </c>
      <c r="E299" s="5">
        <f t="shared" ca="1" si="48"/>
        <v>280</v>
      </c>
      <c r="F299" s="5">
        <f t="shared" ca="1" si="49"/>
        <v>0</v>
      </c>
      <c r="G299" s="5">
        <f t="shared" ca="1" si="44"/>
        <v>246</v>
      </c>
      <c r="H299" s="5">
        <f t="shared" ca="1" si="50"/>
        <v>0</v>
      </c>
      <c r="I299" s="5">
        <f t="shared" ca="1" si="51"/>
        <v>246</v>
      </c>
      <c r="J299" s="5">
        <f t="shared" ca="1" si="52"/>
        <v>34</v>
      </c>
      <c r="K299" s="5">
        <f t="shared" ca="1" si="53"/>
        <v>0</v>
      </c>
      <c r="L299" s="5">
        <f t="shared" ca="1" si="45"/>
        <v>246</v>
      </c>
      <c r="M299" s="11">
        <f t="shared" ca="1" si="54"/>
        <v>1</v>
      </c>
    </row>
    <row r="300" spans="2:13" x14ac:dyDescent="0.25">
      <c r="B300" s="2">
        <v>293</v>
      </c>
      <c r="C300" s="5">
        <f t="shared" ca="1" si="46"/>
        <v>34</v>
      </c>
      <c r="D300" s="5">
        <f t="shared" ca="1" si="47"/>
        <v>246</v>
      </c>
      <c r="E300" s="5">
        <f t="shared" ca="1" si="48"/>
        <v>280</v>
      </c>
      <c r="F300" s="5">
        <f t="shared" ca="1" si="49"/>
        <v>0</v>
      </c>
      <c r="G300" s="5">
        <f t="shared" ca="1" si="44"/>
        <v>104</v>
      </c>
      <c r="H300" s="5">
        <f t="shared" ca="1" si="50"/>
        <v>0</v>
      </c>
      <c r="I300" s="5">
        <f t="shared" ca="1" si="51"/>
        <v>104</v>
      </c>
      <c r="J300" s="5">
        <f t="shared" ca="1" si="52"/>
        <v>176</v>
      </c>
      <c r="K300" s="5">
        <f t="shared" ca="1" si="53"/>
        <v>0</v>
      </c>
      <c r="L300" s="5">
        <f t="shared" ca="1" si="45"/>
        <v>104</v>
      </c>
      <c r="M300" s="11">
        <f t="shared" ca="1" si="54"/>
        <v>1</v>
      </c>
    </row>
    <row r="301" spans="2:13" x14ac:dyDescent="0.25">
      <c r="B301" s="2">
        <v>294</v>
      </c>
      <c r="C301" s="5">
        <f t="shared" ca="1" si="46"/>
        <v>176</v>
      </c>
      <c r="D301" s="5">
        <f t="shared" ca="1" si="47"/>
        <v>104</v>
      </c>
      <c r="E301" s="5">
        <f t="shared" ca="1" si="48"/>
        <v>280</v>
      </c>
      <c r="F301" s="5">
        <f t="shared" ca="1" si="49"/>
        <v>0</v>
      </c>
      <c r="G301" s="5">
        <f t="shared" ca="1" si="44"/>
        <v>238</v>
      </c>
      <c r="H301" s="5">
        <f t="shared" ca="1" si="50"/>
        <v>0</v>
      </c>
      <c r="I301" s="5">
        <f t="shared" ca="1" si="51"/>
        <v>238</v>
      </c>
      <c r="J301" s="5">
        <f t="shared" ca="1" si="52"/>
        <v>42</v>
      </c>
      <c r="K301" s="5">
        <f t="shared" ca="1" si="53"/>
        <v>0</v>
      </c>
      <c r="L301" s="5">
        <f t="shared" ca="1" si="45"/>
        <v>238</v>
      </c>
      <c r="M301" s="11">
        <f t="shared" ca="1" si="54"/>
        <v>1</v>
      </c>
    </row>
    <row r="302" spans="2:13" x14ac:dyDescent="0.25">
      <c r="B302" s="2">
        <v>295</v>
      </c>
      <c r="C302" s="5">
        <f t="shared" ca="1" si="46"/>
        <v>42</v>
      </c>
      <c r="D302" s="5">
        <f t="shared" ca="1" si="47"/>
        <v>238</v>
      </c>
      <c r="E302" s="5">
        <f t="shared" ca="1" si="48"/>
        <v>280</v>
      </c>
      <c r="F302" s="5">
        <f t="shared" ca="1" si="49"/>
        <v>0</v>
      </c>
      <c r="G302" s="5">
        <f t="shared" ca="1" si="44"/>
        <v>246</v>
      </c>
      <c r="H302" s="5">
        <f t="shared" ca="1" si="50"/>
        <v>0</v>
      </c>
      <c r="I302" s="5">
        <f t="shared" ca="1" si="51"/>
        <v>246</v>
      </c>
      <c r="J302" s="5">
        <f t="shared" ca="1" si="52"/>
        <v>34</v>
      </c>
      <c r="K302" s="5">
        <f t="shared" ca="1" si="53"/>
        <v>0</v>
      </c>
      <c r="L302" s="5">
        <f t="shared" ca="1" si="45"/>
        <v>246</v>
      </c>
      <c r="M302" s="11">
        <f t="shared" ca="1" si="54"/>
        <v>1</v>
      </c>
    </row>
    <row r="303" spans="2:13" x14ac:dyDescent="0.25">
      <c r="B303" s="2">
        <v>296</v>
      </c>
      <c r="C303" s="5">
        <f t="shared" ca="1" si="46"/>
        <v>34</v>
      </c>
      <c r="D303" s="5">
        <f t="shared" ca="1" si="47"/>
        <v>246</v>
      </c>
      <c r="E303" s="5">
        <f t="shared" ca="1" si="48"/>
        <v>280</v>
      </c>
      <c r="F303" s="5">
        <f t="shared" ca="1" si="49"/>
        <v>0</v>
      </c>
      <c r="G303" s="5">
        <f t="shared" ca="1" si="44"/>
        <v>218</v>
      </c>
      <c r="H303" s="5">
        <f t="shared" ca="1" si="50"/>
        <v>0</v>
      </c>
      <c r="I303" s="5">
        <f t="shared" ca="1" si="51"/>
        <v>218</v>
      </c>
      <c r="J303" s="5">
        <f t="shared" ca="1" si="52"/>
        <v>62</v>
      </c>
      <c r="K303" s="5">
        <f t="shared" ca="1" si="53"/>
        <v>0</v>
      </c>
      <c r="L303" s="5">
        <f t="shared" ca="1" si="45"/>
        <v>218</v>
      </c>
      <c r="M303" s="11">
        <f t="shared" ca="1" si="54"/>
        <v>1</v>
      </c>
    </row>
    <row r="304" spans="2:13" x14ac:dyDescent="0.25">
      <c r="B304" s="2">
        <v>297</v>
      </c>
      <c r="C304" s="5">
        <f t="shared" ca="1" si="46"/>
        <v>62</v>
      </c>
      <c r="D304" s="5">
        <f t="shared" ca="1" si="47"/>
        <v>218</v>
      </c>
      <c r="E304" s="5">
        <f t="shared" ca="1" si="48"/>
        <v>280</v>
      </c>
      <c r="F304" s="5">
        <f t="shared" ca="1" si="49"/>
        <v>0</v>
      </c>
      <c r="G304" s="5">
        <f t="shared" ca="1" si="44"/>
        <v>230</v>
      </c>
      <c r="H304" s="5">
        <f t="shared" ca="1" si="50"/>
        <v>0</v>
      </c>
      <c r="I304" s="5">
        <f t="shared" ca="1" si="51"/>
        <v>230</v>
      </c>
      <c r="J304" s="5">
        <f t="shared" ca="1" si="52"/>
        <v>50</v>
      </c>
      <c r="K304" s="5">
        <f t="shared" ca="1" si="53"/>
        <v>0</v>
      </c>
      <c r="L304" s="5">
        <f t="shared" ca="1" si="45"/>
        <v>230</v>
      </c>
      <c r="M304" s="11">
        <f t="shared" ca="1" si="54"/>
        <v>1</v>
      </c>
    </row>
    <row r="305" spans="2:13" x14ac:dyDescent="0.25">
      <c r="B305" s="2">
        <v>298</v>
      </c>
      <c r="C305" s="5">
        <f t="shared" ca="1" si="46"/>
        <v>50</v>
      </c>
      <c r="D305" s="5">
        <f t="shared" ca="1" si="47"/>
        <v>230</v>
      </c>
      <c r="E305" s="5">
        <f t="shared" ca="1" si="48"/>
        <v>280</v>
      </c>
      <c r="F305" s="5">
        <f t="shared" ca="1" si="49"/>
        <v>0</v>
      </c>
      <c r="G305" s="5">
        <f t="shared" ca="1" si="44"/>
        <v>121</v>
      </c>
      <c r="H305" s="5">
        <f t="shared" ca="1" si="50"/>
        <v>0</v>
      </c>
      <c r="I305" s="5">
        <f t="shared" ca="1" si="51"/>
        <v>121</v>
      </c>
      <c r="J305" s="5">
        <f t="shared" ca="1" si="52"/>
        <v>159</v>
      </c>
      <c r="K305" s="5">
        <f t="shared" ca="1" si="53"/>
        <v>0</v>
      </c>
      <c r="L305" s="5">
        <f t="shared" ca="1" si="45"/>
        <v>121</v>
      </c>
      <c r="M305" s="11">
        <f t="shared" ca="1" si="54"/>
        <v>1</v>
      </c>
    </row>
    <row r="306" spans="2:13" x14ac:dyDescent="0.25">
      <c r="B306" s="2">
        <v>299</v>
      </c>
      <c r="C306" s="5">
        <f t="shared" ca="1" si="46"/>
        <v>159</v>
      </c>
      <c r="D306" s="5">
        <f t="shared" ca="1" si="47"/>
        <v>121</v>
      </c>
      <c r="E306" s="5">
        <f t="shared" ca="1" si="48"/>
        <v>280</v>
      </c>
      <c r="F306" s="5">
        <f t="shared" ca="1" si="49"/>
        <v>0</v>
      </c>
      <c r="G306" s="5">
        <f t="shared" ca="1" si="44"/>
        <v>246</v>
      </c>
      <c r="H306" s="5">
        <f t="shared" ca="1" si="50"/>
        <v>0</v>
      </c>
      <c r="I306" s="5">
        <f t="shared" ca="1" si="51"/>
        <v>246</v>
      </c>
      <c r="J306" s="5">
        <f t="shared" ca="1" si="52"/>
        <v>34</v>
      </c>
      <c r="K306" s="5">
        <f t="shared" ca="1" si="53"/>
        <v>0</v>
      </c>
      <c r="L306" s="5">
        <f t="shared" ca="1" si="45"/>
        <v>246</v>
      </c>
      <c r="M306" s="11">
        <f t="shared" ca="1" si="54"/>
        <v>1</v>
      </c>
    </row>
    <row r="307" spans="2:13" x14ac:dyDescent="0.25">
      <c r="B307" s="2">
        <v>300</v>
      </c>
      <c r="C307" s="5">
        <f t="shared" ca="1" si="46"/>
        <v>34</v>
      </c>
      <c r="D307" s="5">
        <f t="shared" ca="1" si="47"/>
        <v>246</v>
      </c>
      <c r="E307" s="5">
        <f t="shared" ca="1" si="48"/>
        <v>280</v>
      </c>
      <c r="F307" s="5">
        <f t="shared" ca="1" si="49"/>
        <v>0</v>
      </c>
      <c r="G307" s="5">
        <f t="shared" ca="1" si="44"/>
        <v>295</v>
      </c>
      <c r="H307" s="5">
        <f t="shared" ca="1" si="50"/>
        <v>0</v>
      </c>
      <c r="I307" s="5">
        <f t="shared" ca="1" si="51"/>
        <v>280</v>
      </c>
      <c r="J307" s="5">
        <f t="shared" ca="1" si="52"/>
        <v>0</v>
      </c>
      <c r="K307" s="5">
        <f t="shared" ca="1" si="53"/>
        <v>15</v>
      </c>
      <c r="L307" s="5">
        <f t="shared" ca="1" si="45"/>
        <v>295</v>
      </c>
      <c r="M307" s="11">
        <f t="shared" ca="1" si="54"/>
        <v>0.94915254237288138</v>
      </c>
    </row>
    <row r="308" spans="2:13" x14ac:dyDescent="0.25">
      <c r="B308" s="2">
        <v>301</v>
      </c>
      <c r="C308" s="5">
        <f t="shared" ca="1" si="46"/>
        <v>0</v>
      </c>
      <c r="D308" s="5">
        <f t="shared" ca="1" si="47"/>
        <v>295</v>
      </c>
      <c r="E308" s="5">
        <f t="shared" ca="1" si="48"/>
        <v>295</v>
      </c>
      <c r="F308" s="5">
        <f t="shared" ca="1" si="49"/>
        <v>15</v>
      </c>
      <c r="G308" s="5">
        <f t="shared" ca="1" si="44"/>
        <v>219</v>
      </c>
      <c r="H308" s="5">
        <f t="shared" ca="1" si="50"/>
        <v>15</v>
      </c>
      <c r="I308" s="5">
        <f t="shared" ca="1" si="51"/>
        <v>219</v>
      </c>
      <c r="J308" s="5">
        <f t="shared" ca="1" si="52"/>
        <v>61</v>
      </c>
      <c r="K308" s="5">
        <f t="shared" ca="1" si="53"/>
        <v>0</v>
      </c>
      <c r="L308" s="5">
        <f t="shared" ca="1" si="45"/>
        <v>219</v>
      </c>
      <c r="M308" s="11">
        <f t="shared" ca="1" si="54"/>
        <v>1</v>
      </c>
    </row>
    <row r="309" spans="2:13" x14ac:dyDescent="0.25">
      <c r="B309" s="2">
        <v>302</v>
      </c>
      <c r="C309" s="5">
        <f t="shared" ca="1" si="46"/>
        <v>61</v>
      </c>
      <c r="D309" s="5">
        <f t="shared" ca="1" si="47"/>
        <v>219</v>
      </c>
      <c r="E309" s="5">
        <f t="shared" ca="1" si="48"/>
        <v>280</v>
      </c>
      <c r="F309" s="5">
        <f t="shared" ca="1" si="49"/>
        <v>0</v>
      </c>
      <c r="G309" s="5">
        <f t="shared" ca="1" si="44"/>
        <v>171</v>
      </c>
      <c r="H309" s="5">
        <f t="shared" ca="1" si="50"/>
        <v>0</v>
      </c>
      <c r="I309" s="5">
        <f t="shared" ca="1" si="51"/>
        <v>171</v>
      </c>
      <c r="J309" s="5">
        <f t="shared" ca="1" si="52"/>
        <v>109</v>
      </c>
      <c r="K309" s="5">
        <f t="shared" ca="1" si="53"/>
        <v>0</v>
      </c>
      <c r="L309" s="5">
        <f t="shared" ca="1" si="45"/>
        <v>171</v>
      </c>
      <c r="M309" s="11">
        <f t="shared" ca="1" si="54"/>
        <v>1</v>
      </c>
    </row>
    <row r="310" spans="2:13" x14ac:dyDescent="0.25">
      <c r="B310" s="2">
        <v>303</v>
      </c>
      <c r="C310" s="5">
        <f t="shared" ca="1" si="46"/>
        <v>109</v>
      </c>
      <c r="D310" s="5">
        <f t="shared" ca="1" si="47"/>
        <v>171</v>
      </c>
      <c r="E310" s="5">
        <f t="shared" ca="1" si="48"/>
        <v>280</v>
      </c>
      <c r="F310" s="5">
        <f t="shared" ca="1" si="49"/>
        <v>0</v>
      </c>
      <c r="G310" s="5">
        <f t="shared" ca="1" si="44"/>
        <v>159</v>
      </c>
      <c r="H310" s="5">
        <f t="shared" ca="1" si="50"/>
        <v>0</v>
      </c>
      <c r="I310" s="5">
        <f t="shared" ca="1" si="51"/>
        <v>159</v>
      </c>
      <c r="J310" s="5">
        <f t="shared" ca="1" si="52"/>
        <v>121</v>
      </c>
      <c r="K310" s="5">
        <f t="shared" ca="1" si="53"/>
        <v>0</v>
      </c>
      <c r="L310" s="5">
        <f t="shared" ca="1" si="45"/>
        <v>159</v>
      </c>
      <c r="M310" s="11">
        <f t="shared" ca="1" si="54"/>
        <v>1</v>
      </c>
    </row>
    <row r="311" spans="2:13" x14ac:dyDescent="0.25">
      <c r="B311" s="2">
        <v>304</v>
      </c>
      <c r="C311" s="5">
        <f t="shared" ca="1" si="46"/>
        <v>121</v>
      </c>
      <c r="D311" s="5">
        <f t="shared" ca="1" si="47"/>
        <v>159</v>
      </c>
      <c r="E311" s="5">
        <f t="shared" ca="1" si="48"/>
        <v>280</v>
      </c>
      <c r="F311" s="5">
        <f t="shared" ca="1" si="49"/>
        <v>0</v>
      </c>
      <c r="G311" s="5">
        <f t="shared" ca="1" si="44"/>
        <v>278</v>
      </c>
      <c r="H311" s="5">
        <f t="shared" ca="1" si="50"/>
        <v>0</v>
      </c>
      <c r="I311" s="5">
        <f t="shared" ca="1" si="51"/>
        <v>278</v>
      </c>
      <c r="J311" s="5">
        <f t="shared" ca="1" si="52"/>
        <v>2</v>
      </c>
      <c r="K311" s="5">
        <f t="shared" ca="1" si="53"/>
        <v>0</v>
      </c>
      <c r="L311" s="5">
        <f t="shared" ca="1" si="45"/>
        <v>278</v>
      </c>
      <c r="M311" s="11">
        <f t="shared" ca="1" si="54"/>
        <v>1</v>
      </c>
    </row>
    <row r="312" spans="2:13" x14ac:dyDescent="0.25">
      <c r="B312" s="2">
        <v>305</v>
      </c>
      <c r="C312" s="5">
        <f t="shared" ca="1" si="46"/>
        <v>2</v>
      </c>
      <c r="D312" s="5">
        <f t="shared" ca="1" si="47"/>
        <v>278</v>
      </c>
      <c r="E312" s="5">
        <f t="shared" ca="1" si="48"/>
        <v>280</v>
      </c>
      <c r="F312" s="5">
        <f t="shared" ca="1" si="49"/>
        <v>0</v>
      </c>
      <c r="G312" s="5">
        <f t="shared" ca="1" si="44"/>
        <v>171</v>
      </c>
      <c r="H312" s="5">
        <f t="shared" ca="1" si="50"/>
        <v>0</v>
      </c>
      <c r="I312" s="5">
        <f t="shared" ca="1" si="51"/>
        <v>171</v>
      </c>
      <c r="J312" s="5">
        <f t="shared" ca="1" si="52"/>
        <v>109</v>
      </c>
      <c r="K312" s="5">
        <f t="shared" ca="1" si="53"/>
        <v>0</v>
      </c>
      <c r="L312" s="5">
        <f t="shared" ca="1" si="45"/>
        <v>171</v>
      </c>
      <c r="M312" s="11">
        <f t="shared" ca="1" si="54"/>
        <v>1</v>
      </c>
    </row>
    <row r="313" spans="2:13" x14ac:dyDescent="0.25">
      <c r="B313" s="2">
        <v>306</v>
      </c>
      <c r="C313" s="5">
        <f t="shared" ca="1" si="46"/>
        <v>109</v>
      </c>
      <c r="D313" s="5">
        <f t="shared" ca="1" si="47"/>
        <v>171</v>
      </c>
      <c r="E313" s="5">
        <f t="shared" ca="1" si="48"/>
        <v>280</v>
      </c>
      <c r="F313" s="5">
        <f t="shared" ca="1" si="49"/>
        <v>0</v>
      </c>
      <c r="G313" s="5">
        <f t="shared" ca="1" si="44"/>
        <v>281</v>
      </c>
      <c r="H313" s="5">
        <f t="shared" ca="1" si="50"/>
        <v>0</v>
      </c>
      <c r="I313" s="5">
        <f t="shared" ca="1" si="51"/>
        <v>280</v>
      </c>
      <c r="J313" s="5">
        <f t="shared" ca="1" si="52"/>
        <v>0</v>
      </c>
      <c r="K313" s="5">
        <f t="shared" ca="1" si="53"/>
        <v>1</v>
      </c>
      <c r="L313" s="5">
        <f t="shared" ca="1" si="45"/>
        <v>281</v>
      </c>
      <c r="M313" s="11">
        <f t="shared" ca="1" si="54"/>
        <v>0.99644128113879005</v>
      </c>
    </row>
    <row r="314" spans="2:13" x14ac:dyDescent="0.25">
      <c r="B314" s="2">
        <v>307</v>
      </c>
      <c r="C314" s="5">
        <f t="shared" ca="1" si="46"/>
        <v>0</v>
      </c>
      <c r="D314" s="5">
        <f t="shared" ca="1" si="47"/>
        <v>281</v>
      </c>
      <c r="E314" s="5">
        <f t="shared" ca="1" si="48"/>
        <v>281</v>
      </c>
      <c r="F314" s="5">
        <f t="shared" ca="1" si="49"/>
        <v>1</v>
      </c>
      <c r="G314" s="5">
        <f t="shared" ca="1" si="44"/>
        <v>191</v>
      </c>
      <c r="H314" s="5">
        <f t="shared" ca="1" si="50"/>
        <v>1</v>
      </c>
      <c r="I314" s="5">
        <f t="shared" ca="1" si="51"/>
        <v>191</v>
      </c>
      <c r="J314" s="5">
        <f t="shared" ca="1" si="52"/>
        <v>89</v>
      </c>
      <c r="K314" s="5">
        <f t="shared" ca="1" si="53"/>
        <v>0</v>
      </c>
      <c r="L314" s="5">
        <f t="shared" ca="1" si="45"/>
        <v>191</v>
      </c>
      <c r="M314" s="11">
        <f t="shared" ca="1" si="54"/>
        <v>1</v>
      </c>
    </row>
    <row r="315" spans="2:13" x14ac:dyDescent="0.25">
      <c r="B315" s="2">
        <v>308</v>
      </c>
      <c r="C315" s="5">
        <f t="shared" ca="1" si="46"/>
        <v>89</v>
      </c>
      <c r="D315" s="5">
        <f t="shared" ca="1" si="47"/>
        <v>191</v>
      </c>
      <c r="E315" s="5">
        <f t="shared" ca="1" si="48"/>
        <v>280</v>
      </c>
      <c r="F315" s="5">
        <f t="shared" ca="1" si="49"/>
        <v>0</v>
      </c>
      <c r="G315" s="5">
        <f t="shared" ca="1" si="44"/>
        <v>183</v>
      </c>
      <c r="H315" s="5">
        <f t="shared" ca="1" si="50"/>
        <v>0</v>
      </c>
      <c r="I315" s="5">
        <f t="shared" ca="1" si="51"/>
        <v>183</v>
      </c>
      <c r="J315" s="5">
        <f t="shared" ca="1" si="52"/>
        <v>97</v>
      </c>
      <c r="K315" s="5">
        <f t="shared" ca="1" si="53"/>
        <v>0</v>
      </c>
      <c r="L315" s="5">
        <f t="shared" ca="1" si="45"/>
        <v>183</v>
      </c>
      <c r="M315" s="11">
        <f t="shared" ca="1" si="54"/>
        <v>1</v>
      </c>
    </row>
    <row r="316" spans="2:13" x14ac:dyDescent="0.25">
      <c r="B316" s="2">
        <v>309</v>
      </c>
      <c r="C316" s="5">
        <f t="shared" ca="1" si="46"/>
        <v>97</v>
      </c>
      <c r="D316" s="5">
        <f t="shared" ca="1" si="47"/>
        <v>183</v>
      </c>
      <c r="E316" s="5">
        <f t="shared" ca="1" si="48"/>
        <v>280</v>
      </c>
      <c r="F316" s="5">
        <f t="shared" ca="1" si="49"/>
        <v>0</v>
      </c>
      <c r="G316" s="5">
        <f t="shared" ca="1" si="44"/>
        <v>281</v>
      </c>
      <c r="H316" s="5">
        <f t="shared" ca="1" si="50"/>
        <v>0</v>
      </c>
      <c r="I316" s="5">
        <f t="shared" ca="1" si="51"/>
        <v>280</v>
      </c>
      <c r="J316" s="5">
        <f t="shared" ca="1" si="52"/>
        <v>0</v>
      </c>
      <c r="K316" s="5">
        <f t="shared" ca="1" si="53"/>
        <v>1</v>
      </c>
      <c r="L316" s="5">
        <f t="shared" ca="1" si="45"/>
        <v>281</v>
      </c>
      <c r="M316" s="11">
        <f t="shared" ca="1" si="54"/>
        <v>0.99644128113879005</v>
      </c>
    </row>
    <row r="317" spans="2:13" x14ac:dyDescent="0.25">
      <c r="B317" s="2">
        <v>310</v>
      </c>
      <c r="C317" s="5">
        <f t="shared" ca="1" si="46"/>
        <v>0</v>
      </c>
      <c r="D317" s="5">
        <f t="shared" ca="1" si="47"/>
        <v>281</v>
      </c>
      <c r="E317" s="5">
        <f t="shared" ca="1" si="48"/>
        <v>281</v>
      </c>
      <c r="F317" s="5">
        <f t="shared" ca="1" si="49"/>
        <v>1</v>
      </c>
      <c r="G317" s="5">
        <f t="shared" ca="1" si="44"/>
        <v>268</v>
      </c>
      <c r="H317" s="5">
        <f t="shared" ca="1" si="50"/>
        <v>1</v>
      </c>
      <c r="I317" s="5">
        <f t="shared" ca="1" si="51"/>
        <v>268</v>
      </c>
      <c r="J317" s="5">
        <f t="shared" ca="1" si="52"/>
        <v>12</v>
      </c>
      <c r="K317" s="5">
        <f t="shared" ca="1" si="53"/>
        <v>0</v>
      </c>
      <c r="L317" s="5">
        <f t="shared" ca="1" si="45"/>
        <v>268</v>
      </c>
      <c r="M317" s="11">
        <f t="shared" ca="1" si="54"/>
        <v>1</v>
      </c>
    </row>
    <row r="318" spans="2:13" x14ac:dyDescent="0.25">
      <c r="B318" s="2">
        <v>311</v>
      </c>
      <c r="C318" s="5">
        <f t="shared" ca="1" si="46"/>
        <v>12</v>
      </c>
      <c r="D318" s="5">
        <f t="shared" ca="1" si="47"/>
        <v>268</v>
      </c>
      <c r="E318" s="5">
        <f t="shared" ca="1" si="48"/>
        <v>280</v>
      </c>
      <c r="F318" s="5">
        <f t="shared" ca="1" si="49"/>
        <v>0</v>
      </c>
      <c r="G318" s="5">
        <f t="shared" ca="1" si="44"/>
        <v>244</v>
      </c>
      <c r="H318" s="5">
        <f t="shared" ca="1" si="50"/>
        <v>0</v>
      </c>
      <c r="I318" s="5">
        <f t="shared" ca="1" si="51"/>
        <v>244</v>
      </c>
      <c r="J318" s="5">
        <f t="shared" ca="1" si="52"/>
        <v>36</v>
      </c>
      <c r="K318" s="5">
        <f t="shared" ca="1" si="53"/>
        <v>0</v>
      </c>
      <c r="L318" s="5">
        <f t="shared" ca="1" si="45"/>
        <v>244</v>
      </c>
      <c r="M318" s="11">
        <f t="shared" ca="1" si="54"/>
        <v>1</v>
      </c>
    </row>
    <row r="319" spans="2:13" x14ac:dyDescent="0.25">
      <c r="B319" s="2">
        <v>312</v>
      </c>
      <c r="C319" s="5">
        <f t="shared" ca="1" si="46"/>
        <v>36</v>
      </c>
      <c r="D319" s="5">
        <f t="shared" ca="1" si="47"/>
        <v>244</v>
      </c>
      <c r="E319" s="5">
        <f t="shared" ca="1" si="48"/>
        <v>280</v>
      </c>
      <c r="F319" s="5">
        <f t="shared" ca="1" si="49"/>
        <v>0</v>
      </c>
      <c r="G319" s="5">
        <f t="shared" ca="1" si="44"/>
        <v>109</v>
      </c>
      <c r="H319" s="5">
        <f t="shared" ca="1" si="50"/>
        <v>0</v>
      </c>
      <c r="I319" s="5">
        <f t="shared" ca="1" si="51"/>
        <v>109</v>
      </c>
      <c r="J319" s="5">
        <f t="shared" ca="1" si="52"/>
        <v>171</v>
      </c>
      <c r="K319" s="5">
        <f t="shared" ca="1" si="53"/>
        <v>0</v>
      </c>
      <c r="L319" s="5">
        <f t="shared" ca="1" si="45"/>
        <v>109</v>
      </c>
      <c r="M319" s="11">
        <f t="shared" ca="1" si="54"/>
        <v>1</v>
      </c>
    </row>
    <row r="320" spans="2:13" x14ac:dyDescent="0.25">
      <c r="B320" s="2">
        <v>313</v>
      </c>
      <c r="C320" s="5">
        <f t="shared" ca="1" si="46"/>
        <v>171</v>
      </c>
      <c r="D320" s="5">
        <f t="shared" ca="1" si="47"/>
        <v>109</v>
      </c>
      <c r="E320" s="5">
        <f t="shared" ca="1" si="48"/>
        <v>280</v>
      </c>
      <c r="F320" s="5">
        <f t="shared" ca="1" si="49"/>
        <v>0</v>
      </c>
      <c r="G320" s="5">
        <f t="shared" ca="1" si="44"/>
        <v>289</v>
      </c>
      <c r="H320" s="5">
        <f t="shared" ca="1" si="50"/>
        <v>0</v>
      </c>
      <c r="I320" s="5">
        <f t="shared" ca="1" si="51"/>
        <v>280</v>
      </c>
      <c r="J320" s="5">
        <f t="shared" ca="1" si="52"/>
        <v>0</v>
      </c>
      <c r="K320" s="5">
        <f t="shared" ca="1" si="53"/>
        <v>9</v>
      </c>
      <c r="L320" s="5">
        <f t="shared" ca="1" si="45"/>
        <v>289</v>
      </c>
      <c r="M320" s="11">
        <f t="shared" ca="1" si="54"/>
        <v>0.96885813148788924</v>
      </c>
    </row>
    <row r="321" spans="2:13" x14ac:dyDescent="0.25">
      <c r="B321" s="2">
        <v>314</v>
      </c>
      <c r="C321" s="5">
        <f t="shared" ca="1" si="46"/>
        <v>0</v>
      </c>
      <c r="D321" s="5">
        <f t="shared" ca="1" si="47"/>
        <v>289</v>
      </c>
      <c r="E321" s="5">
        <f t="shared" ca="1" si="48"/>
        <v>289</v>
      </c>
      <c r="F321" s="5">
        <f t="shared" ca="1" si="49"/>
        <v>9</v>
      </c>
      <c r="G321" s="5">
        <f t="shared" ca="1" si="44"/>
        <v>102</v>
      </c>
      <c r="H321" s="5">
        <f t="shared" ca="1" si="50"/>
        <v>9</v>
      </c>
      <c r="I321" s="5">
        <f t="shared" ca="1" si="51"/>
        <v>102</v>
      </c>
      <c r="J321" s="5">
        <f t="shared" ca="1" si="52"/>
        <v>178</v>
      </c>
      <c r="K321" s="5">
        <f t="shared" ca="1" si="53"/>
        <v>0</v>
      </c>
      <c r="L321" s="5">
        <f t="shared" ca="1" si="45"/>
        <v>102</v>
      </c>
      <c r="M321" s="11">
        <f t="shared" ca="1" si="54"/>
        <v>1</v>
      </c>
    </row>
    <row r="322" spans="2:13" x14ac:dyDescent="0.25">
      <c r="B322" s="2">
        <v>315</v>
      </c>
      <c r="C322" s="5">
        <f t="shared" ca="1" si="46"/>
        <v>178</v>
      </c>
      <c r="D322" s="5">
        <f t="shared" ca="1" si="47"/>
        <v>102</v>
      </c>
      <c r="E322" s="5">
        <f t="shared" ca="1" si="48"/>
        <v>280</v>
      </c>
      <c r="F322" s="5">
        <f t="shared" ca="1" si="49"/>
        <v>0</v>
      </c>
      <c r="G322" s="5">
        <f t="shared" ca="1" si="44"/>
        <v>135</v>
      </c>
      <c r="H322" s="5">
        <f t="shared" ca="1" si="50"/>
        <v>0</v>
      </c>
      <c r="I322" s="5">
        <f t="shared" ca="1" si="51"/>
        <v>135</v>
      </c>
      <c r="J322" s="5">
        <f t="shared" ca="1" si="52"/>
        <v>145</v>
      </c>
      <c r="K322" s="5">
        <f t="shared" ca="1" si="53"/>
        <v>0</v>
      </c>
      <c r="L322" s="5">
        <f t="shared" ca="1" si="45"/>
        <v>135</v>
      </c>
      <c r="M322" s="11">
        <f t="shared" ca="1" si="54"/>
        <v>1</v>
      </c>
    </row>
    <row r="323" spans="2:13" x14ac:dyDescent="0.25">
      <c r="B323" s="2">
        <v>316</v>
      </c>
      <c r="C323" s="5">
        <f t="shared" ca="1" si="46"/>
        <v>145</v>
      </c>
      <c r="D323" s="5">
        <f t="shared" ca="1" si="47"/>
        <v>135</v>
      </c>
      <c r="E323" s="5">
        <f t="shared" ca="1" si="48"/>
        <v>280</v>
      </c>
      <c r="F323" s="5">
        <f t="shared" ca="1" si="49"/>
        <v>0</v>
      </c>
      <c r="G323" s="5">
        <f t="shared" ca="1" si="44"/>
        <v>154</v>
      </c>
      <c r="H323" s="5">
        <f t="shared" ca="1" si="50"/>
        <v>0</v>
      </c>
      <c r="I323" s="5">
        <f t="shared" ca="1" si="51"/>
        <v>154</v>
      </c>
      <c r="J323" s="5">
        <f t="shared" ca="1" si="52"/>
        <v>126</v>
      </c>
      <c r="K323" s="5">
        <f t="shared" ca="1" si="53"/>
        <v>0</v>
      </c>
      <c r="L323" s="5">
        <f t="shared" ca="1" si="45"/>
        <v>154</v>
      </c>
      <c r="M323" s="11">
        <f t="shared" ca="1" si="54"/>
        <v>1</v>
      </c>
    </row>
    <row r="324" spans="2:13" x14ac:dyDescent="0.25">
      <c r="B324" s="2">
        <v>317</v>
      </c>
      <c r="C324" s="5">
        <f t="shared" ca="1" si="46"/>
        <v>126</v>
      </c>
      <c r="D324" s="5">
        <f t="shared" ca="1" si="47"/>
        <v>154</v>
      </c>
      <c r="E324" s="5">
        <f t="shared" ca="1" si="48"/>
        <v>280</v>
      </c>
      <c r="F324" s="5">
        <f t="shared" ca="1" si="49"/>
        <v>0</v>
      </c>
      <c r="G324" s="5">
        <f t="shared" ca="1" si="44"/>
        <v>288</v>
      </c>
      <c r="H324" s="5">
        <f t="shared" ca="1" si="50"/>
        <v>0</v>
      </c>
      <c r="I324" s="5">
        <f t="shared" ca="1" si="51"/>
        <v>280</v>
      </c>
      <c r="J324" s="5">
        <f t="shared" ca="1" si="52"/>
        <v>0</v>
      </c>
      <c r="K324" s="5">
        <f t="shared" ca="1" si="53"/>
        <v>8</v>
      </c>
      <c r="L324" s="5">
        <f t="shared" ca="1" si="45"/>
        <v>288</v>
      </c>
      <c r="M324" s="11">
        <f t="shared" ca="1" si="54"/>
        <v>0.97222222222222221</v>
      </c>
    </row>
    <row r="325" spans="2:13" x14ac:dyDescent="0.25">
      <c r="B325" s="2">
        <v>318</v>
      </c>
      <c r="C325" s="5">
        <f t="shared" ca="1" si="46"/>
        <v>0</v>
      </c>
      <c r="D325" s="5">
        <f t="shared" ca="1" si="47"/>
        <v>288</v>
      </c>
      <c r="E325" s="5">
        <f t="shared" ca="1" si="48"/>
        <v>288</v>
      </c>
      <c r="F325" s="5">
        <f t="shared" ca="1" si="49"/>
        <v>8</v>
      </c>
      <c r="G325" s="5">
        <f t="shared" ca="1" si="44"/>
        <v>178</v>
      </c>
      <c r="H325" s="5">
        <f t="shared" ca="1" si="50"/>
        <v>8</v>
      </c>
      <c r="I325" s="5">
        <f t="shared" ca="1" si="51"/>
        <v>178</v>
      </c>
      <c r="J325" s="5">
        <f t="shared" ca="1" si="52"/>
        <v>102</v>
      </c>
      <c r="K325" s="5">
        <f t="shared" ca="1" si="53"/>
        <v>0</v>
      </c>
      <c r="L325" s="5">
        <f t="shared" ca="1" si="45"/>
        <v>178</v>
      </c>
      <c r="M325" s="11">
        <f t="shared" ca="1" si="54"/>
        <v>1</v>
      </c>
    </row>
    <row r="326" spans="2:13" x14ac:dyDescent="0.25">
      <c r="B326" s="2">
        <v>319</v>
      </c>
      <c r="C326" s="5">
        <f t="shared" ca="1" si="46"/>
        <v>102</v>
      </c>
      <c r="D326" s="5">
        <f t="shared" ca="1" si="47"/>
        <v>178</v>
      </c>
      <c r="E326" s="5">
        <f t="shared" ca="1" si="48"/>
        <v>280</v>
      </c>
      <c r="F326" s="5">
        <f t="shared" ca="1" si="49"/>
        <v>0</v>
      </c>
      <c r="G326" s="5">
        <f t="shared" ca="1" si="44"/>
        <v>127</v>
      </c>
      <c r="H326" s="5">
        <f t="shared" ca="1" si="50"/>
        <v>0</v>
      </c>
      <c r="I326" s="5">
        <f t="shared" ca="1" si="51"/>
        <v>127</v>
      </c>
      <c r="J326" s="5">
        <f t="shared" ca="1" si="52"/>
        <v>153</v>
      </c>
      <c r="K326" s="5">
        <f t="shared" ca="1" si="53"/>
        <v>0</v>
      </c>
      <c r="L326" s="5">
        <f t="shared" ca="1" si="45"/>
        <v>127</v>
      </c>
      <c r="M326" s="11">
        <f t="shared" ca="1" si="54"/>
        <v>1</v>
      </c>
    </row>
    <row r="327" spans="2:13" x14ac:dyDescent="0.25">
      <c r="B327" s="2">
        <v>320</v>
      </c>
      <c r="C327" s="5">
        <f t="shared" ca="1" si="46"/>
        <v>153</v>
      </c>
      <c r="D327" s="5">
        <f t="shared" ca="1" si="47"/>
        <v>127</v>
      </c>
      <c r="E327" s="5">
        <f t="shared" ca="1" si="48"/>
        <v>280</v>
      </c>
      <c r="F327" s="5">
        <f t="shared" ca="1" si="49"/>
        <v>0</v>
      </c>
      <c r="G327" s="5">
        <f t="shared" ca="1" si="44"/>
        <v>121</v>
      </c>
      <c r="H327" s="5">
        <f t="shared" ca="1" si="50"/>
        <v>0</v>
      </c>
      <c r="I327" s="5">
        <f t="shared" ca="1" si="51"/>
        <v>121</v>
      </c>
      <c r="J327" s="5">
        <f t="shared" ca="1" si="52"/>
        <v>159</v>
      </c>
      <c r="K327" s="5">
        <f t="shared" ca="1" si="53"/>
        <v>0</v>
      </c>
      <c r="L327" s="5">
        <f t="shared" ca="1" si="45"/>
        <v>121</v>
      </c>
      <c r="M327" s="11">
        <f t="shared" ca="1" si="54"/>
        <v>1</v>
      </c>
    </row>
    <row r="328" spans="2:13" x14ac:dyDescent="0.25">
      <c r="B328" s="2">
        <v>321</v>
      </c>
      <c r="C328" s="5">
        <f t="shared" ca="1" si="46"/>
        <v>159</v>
      </c>
      <c r="D328" s="5">
        <f t="shared" ca="1" si="47"/>
        <v>121</v>
      </c>
      <c r="E328" s="5">
        <f t="shared" ca="1" si="48"/>
        <v>280</v>
      </c>
      <c r="F328" s="5">
        <f t="shared" ca="1" si="49"/>
        <v>0</v>
      </c>
      <c r="G328" s="5">
        <f t="shared" ref="G328:G372" ca="1" si="55">RANDBETWEEN(DemandMin,DemandMax)</f>
        <v>247</v>
      </c>
      <c r="H328" s="5">
        <f t="shared" ca="1" si="50"/>
        <v>0</v>
      </c>
      <c r="I328" s="5">
        <f t="shared" ca="1" si="51"/>
        <v>247</v>
      </c>
      <c r="J328" s="5">
        <f t="shared" ca="1" si="52"/>
        <v>33</v>
      </c>
      <c r="K328" s="5">
        <f t="shared" ca="1" si="53"/>
        <v>0</v>
      </c>
      <c r="L328" s="5">
        <f t="shared" ref="L328:L372" ca="1" si="56">MAX(0,BaseStock-(J328-K328))</f>
        <v>247</v>
      </c>
      <c r="M328" s="11">
        <f t="shared" ca="1" si="54"/>
        <v>1</v>
      </c>
    </row>
    <row r="329" spans="2:13" x14ac:dyDescent="0.25">
      <c r="B329" s="2">
        <v>322</v>
      </c>
      <c r="C329" s="5">
        <f t="shared" ref="C329:C372" ca="1" si="57">J328</f>
        <v>33</v>
      </c>
      <c r="D329" s="5">
        <f t="shared" ref="D329:D372" ca="1" si="58">L328</f>
        <v>247</v>
      </c>
      <c r="E329" s="5">
        <f t="shared" ref="E329:E372" ca="1" si="59">SUM(C329:D329)</f>
        <v>280</v>
      </c>
      <c r="F329" s="5">
        <f t="shared" ref="F329:F372" ca="1" si="60">K328</f>
        <v>0</v>
      </c>
      <c r="G329" s="5">
        <f t="shared" ca="1" si="55"/>
        <v>286</v>
      </c>
      <c r="H329" s="5">
        <f t="shared" ref="H329:H372" ca="1" si="61">MIN(F329,E329)</f>
        <v>0</v>
      </c>
      <c r="I329" s="5">
        <f t="shared" ref="I329:I372" ca="1" si="62">MIN(G329,E329-H329)</f>
        <v>280</v>
      </c>
      <c r="J329" s="5">
        <f t="shared" ref="J329:J372" ca="1" si="63">E329-H329-I329</f>
        <v>0</v>
      </c>
      <c r="K329" s="5">
        <f t="shared" ref="K329:K372" ca="1" si="64">F329+G329-H329-I329</f>
        <v>6</v>
      </c>
      <c r="L329" s="5">
        <f t="shared" ca="1" si="56"/>
        <v>286</v>
      </c>
      <c r="M329" s="11">
        <f t="shared" ref="M329:M372" ca="1" si="65">IFERROR(I329/G329,1)</f>
        <v>0.97902097902097907</v>
      </c>
    </row>
    <row r="330" spans="2:13" x14ac:dyDescent="0.25">
      <c r="B330" s="2">
        <v>323</v>
      </c>
      <c r="C330" s="5">
        <f t="shared" ca="1" si="57"/>
        <v>0</v>
      </c>
      <c r="D330" s="5">
        <f t="shared" ca="1" si="58"/>
        <v>286</v>
      </c>
      <c r="E330" s="5">
        <f t="shared" ca="1" si="59"/>
        <v>286</v>
      </c>
      <c r="F330" s="5">
        <f t="shared" ca="1" si="60"/>
        <v>6</v>
      </c>
      <c r="G330" s="5">
        <f t="shared" ca="1" si="55"/>
        <v>229</v>
      </c>
      <c r="H330" s="5">
        <f t="shared" ca="1" si="61"/>
        <v>6</v>
      </c>
      <c r="I330" s="5">
        <f t="shared" ca="1" si="62"/>
        <v>229</v>
      </c>
      <c r="J330" s="5">
        <f t="shared" ca="1" si="63"/>
        <v>51</v>
      </c>
      <c r="K330" s="5">
        <f t="shared" ca="1" si="64"/>
        <v>0</v>
      </c>
      <c r="L330" s="5">
        <f t="shared" ca="1" si="56"/>
        <v>229</v>
      </c>
      <c r="M330" s="11">
        <f t="shared" ca="1" si="65"/>
        <v>1</v>
      </c>
    </row>
    <row r="331" spans="2:13" x14ac:dyDescent="0.25">
      <c r="B331" s="2">
        <v>324</v>
      </c>
      <c r="C331" s="5">
        <f t="shared" ca="1" si="57"/>
        <v>51</v>
      </c>
      <c r="D331" s="5">
        <f t="shared" ca="1" si="58"/>
        <v>229</v>
      </c>
      <c r="E331" s="5">
        <f t="shared" ca="1" si="59"/>
        <v>280</v>
      </c>
      <c r="F331" s="5">
        <f t="shared" ca="1" si="60"/>
        <v>0</v>
      </c>
      <c r="G331" s="5">
        <f t="shared" ca="1" si="55"/>
        <v>206</v>
      </c>
      <c r="H331" s="5">
        <f t="shared" ca="1" si="61"/>
        <v>0</v>
      </c>
      <c r="I331" s="5">
        <f t="shared" ca="1" si="62"/>
        <v>206</v>
      </c>
      <c r="J331" s="5">
        <f t="shared" ca="1" si="63"/>
        <v>74</v>
      </c>
      <c r="K331" s="5">
        <f t="shared" ca="1" si="64"/>
        <v>0</v>
      </c>
      <c r="L331" s="5">
        <f t="shared" ca="1" si="56"/>
        <v>206</v>
      </c>
      <c r="M331" s="11">
        <f t="shared" ca="1" si="65"/>
        <v>1</v>
      </c>
    </row>
    <row r="332" spans="2:13" x14ac:dyDescent="0.25">
      <c r="B332" s="2">
        <v>325</v>
      </c>
      <c r="C332" s="5">
        <f t="shared" ca="1" si="57"/>
        <v>74</v>
      </c>
      <c r="D332" s="5">
        <f t="shared" ca="1" si="58"/>
        <v>206</v>
      </c>
      <c r="E332" s="5">
        <f t="shared" ca="1" si="59"/>
        <v>280</v>
      </c>
      <c r="F332" s="5">
        <f t="shared" ca="1" si="60"/>
        <v>0</v>
      </c>
      <c r="G332" s="5">
        <f t="shared" ca="1" si="55"/>
        <v>141</v>
      </c>
      <c r="H332" s="5">
        <f t="shared" ca="1" si="61"/>
        <v>0</v>
      </c>
      <c r="I332" s="5">
        <f t="shared" ca="1" si="62"/>
        <v>141</v>
      </c>
      <c r="J332" s="5">
        <f t="shared" ca="1" si="63"/>
        <v>139</v>
      </c>
      <c r="K332" s="5">
        <f t="shared" ca="1" si="64"/>
        <v>0</v>
      </c>
      <c r="L332" s="5">
        <f t="shared" ca="1" si="56"/>
        <v>141</v>
      </c>
      <c r="M332" s="11">
        <f t="shared" ca="1" si="65"/>
        <v>1</v>
      </c>
    </row>
    <row r="333" spans="2:13" x14ac:dyDescent="0.25">
      <c r="B333" s="2">
        <v>326</v>
      </c>
      <c r="C333" s="5">
        <f t="shared" ca="1" si="57"/>
        <v>139</v>
      </c>
      <c r="D333" s="5">
        <f t="shared" ca="1" si="58"/>
        <v>141</v>
      </c>
      <c r="E333" s="5">
        <f t="shared" ca="1" si="59"/>
        <v>280</v>
      </c>
      <c r="F333" s="5">
        <f t="shared" ca="1" si="60"/>
        <v>0</v>
      </c>
      <c r="G333" s="5">
        <f t="shared" ca="1" si="55"/>
        <v>274</v>
      </c>
      <c r="H333" s="5">
        <f t="shared" ca="1" si="61"/>
        <v>0</v>
      </c>
      <c r="I333" s="5">
        <f t="shared" ca="1" si="62"/>
        <v>274</v>
      </c>
      <c r="J333" s="5">
        <f t="shared" ca="1" si="63"/>
        <v>6</v>
      </c>
      <c r="K333" s="5">
        <f t="shared" ca="1" si="64"/>
        <v>0</v>
      </c>
      <c r="L333" s="5">
        <f t="shared" ca="1" si="56"/>
        <v>274</v>
      </c>
      <c r="M333" s="11">
        <f t="shared" ca="1" si="65"/>
        <v>1</v>
      </c>
    </row>
    <row r="334" spans="2:13" x14ac:dyDescent="0.25">
      <c r="B334" s="2">
        <v>327</v>
      </c>
      <c r="C334" s="5">
        <f t="shared" ca="1" si="57"/>
        <v>6</v>
      </c>
      <c r="D334" s="5">
        <f t="shared" ca="1" si="58"/>
        <v>274</v>
      </c>
      <c r="E334" s="5">
        <f t="shared" ca="1" si="59"/>
        <v>280</v>
      </c>
      <c r="F334" s="5">
        <f t="shared" ca="1" si="60"/>
        <v>0</v>
      </c>
      <c r="G334" s="5">
        <f t="shared" ca="1" si="55"/>
        <v>247</v>
      </c>
      <c r="H334" s="5">
        <f t="shared" ca="1" si="61"/>
        <v>0</v>
      </c>
      <c r="I334" s="5">
        <f t="shared" ca="1" si="62"/>
        <v>247</v>
      </c>
      <c r="J334" s="5">
        <f t="shared" ca="1" si="63"/>
        <v>33</v>
      </c>
      <c r="K334" s="5">
        <f t="shared" ca="1" si="64"/>
        <v>0</v>
      </c>
      <c r="L334" s="5">
        <f t="shared" ca="1" si="56"/>
        <v>247</v>
      </c>
      <c r="M334" s="11">
        <f t="shared" ca="1" si="65"/>
        <v>1</v>
      </c>
    </row>
    <row r="335" spans="2:13" x14ac:dyDescent="0.25">
      <c r="B335" s="2">
        <v>328</v>
      </c>
      <c r="C335" s="5">
        <f t="shared" ca="1" si="57"/>
        <v>33</v>
      </c>
      <c r="D335" s="5">
        <f t="shared" ca="1" si="58"/>
        <v>247</v>
      </c>
      <c r="E335" s="5">
        <f t="shared" ca="1" si="59"/>
        <v>280</v>
      </c>
      <c r="F335" s="5">
        <f t="shared" ca="1" si="60"/>
        <v>0</v>
      </c>
      <c r="G335" s="5">
        <f t="shared" ca="1" si="55"/>
        <v>219</v>
      </c>
      <c r="H335" s="5">
        <f t="shared" ca="1" si="61"/>
        <v>0</v>
      </c>
      <c r="I335" s="5">
        <f t="shared" ca="1" si="62"/>
        <v>219</v>
      </c>
      <c r="J335" s="5">
        <f t="shared" ca="1" si="63"/>
        <v>61</v>
      </c>
      <c r="K335" s="5">
        <f t="shared" ca="1" si="64"/>
        <v>0</v>
      </c>
      <c r="L335" s="5">
        <f t="shared" ca="1" si="56"/>
        <v>219</v>
      </c>
      <c r="M335" s="11">
        <f t="shared" ca="1" si="65"/>
        <v>1</v>
      </c>
    </row>
    <row r="336" spans="2:13" x14ac:dyDescent="0.25">
      <c r="B336" s="2">
        <v>329</v>
      </c>
      <c r="C336" s="5">
        <f t="shared" ca="1" si="57"/>
        <v>61</v>
      </c>
      <c r="D336" s="5">
        <f t="shared" ca="1" si="58"/>
        <v>219</v>
      </c>
      <c r="E336" s="5">
        <f t="shared" ca="1" si="59"/>
        <v>280</v>
      </c>
      <c r="F336" s="5">
        <f t="shared" ca="1" si="60"/>
        <v>0</v>
      </c>
      <c r="G336" s="5">
        <f t="shared" ca="1" si="55"/>
        <v>266</v>
      </c>
      <c r="H336" s="5">
        <f t="shared" ca="1" si="61"/>
        <v>0</v>
      </c>
      <c r="I336" s="5">
        <f t="shared" ca="1" si="62"/>
        <v>266</v>
      </c>
      <c r="J336" s="5">
        <f t="shared" ca="1" si="63"/>
        <v>14</v>
      </c>
      <c r="K336" s="5">
        <f t="shared" ca="1" si="64"/>
        <v>0</v>
      </c>
      <c r="L336" s="5">
        <f t="shared" ca="1" si="56"/>
        <v>266</v>
      </c>
      <c r="M336" s="11">
        <f t="shared" ca="1" si="65"/>
        <v>1</v>
      </c>
    </row>
    <row r="337" spans="2:13" x14ac:dyDescent="0.25">
      <c r="B337" s="2">
        <v>330</v>
      </c>
      <c r="C337" s="5">
        <f t="shared" ca="1" si="57"/>
        <v>14</v>
      </c>
      <c r="D337" s="5">
        <f t="shared" ca="1" si="58"/>
        <v>266</v>
      </c>
      <c r="E337" s="5">
        <f t="shared" ca="1" si="59"/>
        <v>280</v>
      </c>
      <c r="F337" s="5">
        <f t="shared" ca="1" si="60"/>
        <v>0</v>
      </c>
      <c r="G337" s="5">
        <f t="shared" ca="1" si="55"/>
        <v>104</v>
      </c>
      <c r="H337" s="5">
        <f t="shared" ca="1" si="61"/>
        <v>0</v>
      </c>
      <c r="I337" s="5">
        <f t="shared" ca="1" si="62"/>
        <v>104</v>
      </c>
      <c r="J337" s="5">
        <f t="shared" ca="1" si="63"/>
        <v>176</v>
      </c>
      <c r="K337" s="5">
        <f t="shared" ca="1" si="64"/>
        <v>0</v>
      </c>
      <c r="L337" s="5">
        <f t="shared" ca="1" si="56"/>
        <v>104</v>
      </c>
      <c r="M337" s="11">
        <f t="shared" ca="1" si="65"/>
        <v>1</v>
      </c>
    </row>
    <row r="338" spans="2:13" x14ac:dyDescent="0.25">
      <c r="B338" s="2">
        <v>331</v>
      </c>
      <c r="C338" s="5">
        <f t="shared" ca="1" si="57"/>
        <v>176</v>
      </c>
      <c r="D338" s="5">
        <f t="shared" ca="1" si="58"/>
        <v>104</v>
      </c>
      <c r="E338" s="5">
        <f t="shared" ca="1" si="59"/>
        <v>280</v>
      </c>
      <c r="F338" s="5">
        <f t="shared" ca="1" si="60"/>
        <v>0</v>
      </c>
      <c r="G338" s="5">
        <f t="shared" ca="1" si="55"/>
        <v>163</v>
      </c>
      <c r="H338" s="5">
        <f t="shared" ca="1" si="61"/>
        <v>0</v>
      </c>
      <c r="I338" s="5">
        <f t="shared" ca="1" si="62"/>
        <v>163</v>
      </c>
      <c r="J338" s="5">
        <f t="shared" ca="1" si="63"/>
        <v>117</v>
      </c>
      <c r="K338" s="5">
        <f t="shared" ca="1" si="64"/>
        <v>0</v>
      </c>
      <c r="L338" s="5">
        <f t="shared" ca="1" si="56"/>
        <v>163</v>
      </c>
      <c r="M338" s="11">
        <f t="shared" ca="1" si="65"/>
        <v>1</v>
      </c>
    </row>
    <row r="339" spans="2:13" x14ac:dyDescent="0.25">
      <c r="B339" s="2">
        <v>332</v>
      </c>
      <c r="C339" s="5">
        <f t="shared" ca="1" si="57"/>
        <v>117</v>
      </c>
      <c r="D339" s="5">
        <f t="shared" ca="1" si="58"/>
        <v>163</v>
      </c>
      <c r="E339" s="5">
        <f t="shared" ca="1" si="59"/>
        <v>280</v>
      </c>
      <c r="F339" s="5">
        <f t="shared" ca="1" si="60"/>
        <v>0</v>
      </c>
      <c r="G339" s="5">
        <f t="shared" ca="1" si="55"/>
        <v>162</v>
      </c>
      <c r="H339" s="5">
        <f t="shared" ca="1" si="61"/>
        <v>0</v>
      </c>
      <c r="I339" s="5">
        <f t="shared" ca="1" si="62"/>
        <v>162</v>
      </c>
      <c r="J339" s="5">
        <f t="shared" ca="1" si="63"/>
        <v>118</v>
      </c>
      <c r="K339" s="5">
        <f t="shared" ca="1" si="64"/>
        <v>0</v>
      </c>
      <c r="L339" s="5">
        <f t="shared" ca="1" si="56"/>
        <v>162</v>
      </c>
      <c r="M339" s="11">
        <f t="shared" ca="1" si="65"/>
        <v>1</v>
      </c>
    </row>
    <row r="340" spans="2:13" x14ac:dyDescent="0.25">
      <c r="B340" s="2">
        <v>333</v>
      </c>
      <c r="C340" s="5">
        <f t="shared" ca="1" si="57"/>
        <v>118</v>
      </c>
      <c r="D340" s="5">
        <f t="shared" ca="1" si="58"/>
        <v>162</v>
      </c>
      <c r="E340" s="5">
        <f t="shared" ca="1" si="59"/>
        <v>280</v>
      </c>
      <c r="F340" s="5">
        <f t="shared" ca="1" si="60"/>
        <v>0</v>
      </c>
      <c r="G340" s="5">
        <f t="shared" ca="1" si="55"/>
        <v>170</v>
      </c>
      <c r="H340" s="5">
        <f t="shared" ca="1" si="61"/>
        <v>0</v>
      </c>
      <c r="I340" s="5">
        <f t="shared" ca="1" si="62"/>
        <v>170</v>
      </c>
      <c r="J340" s="5">
        <f t="shared" ca="1" si="63"/>
        <v>110</v>
      </c>
      <c r="K340" s="5">
        <f t="shared" ca="1" si="64"/>
        <v>0</v>
      </c>
      <c r="L340" s="5">
        <f t="shared" ca="1" si="56"/>
        <v>170</v>
      </c>
      <c r="M340" s="11">
        <f t="shared" ca="1" si="65"/>
        <v>1</v>
      </c>
    </row>
    <row r="341" spans="2:13" x14ac:dyDescent="0.25">
      <c r="B341" s="2">
        <v>334</v>
      </c>
      <c r="C341" s="5">
        <f t="shared" ca="1" si="57"/>
        <v>110</v>
      </c>
      <c r="D341" s="5">
        <f t="shared" ca="1" si="58"/>
        <v>170</v>
      </c>
      <c r="E341" s="5">
        <f t="shared" ca="1" si="59"/>
        <v>280</v>
      </c>
      <c r="F341" s="5">
        <f t="shared" ca="1" si="60"/>
        <v>0</v>
      </c>
      <c r="G341" s="5">
        <f t="shared" ca="1" si="55"/>
        <v>267</v>
      </c>
      <c r="H341" s="5">
        <f t="shared" ca="1" si="61"/>
        <v>0</v>
      </c>
      <c r="I341" s="5">
        <f t="shared" ca="1" si="62"/>
        <v>267</v>
      </c>
      <c r="J341" s="5">
        <f t="shared" ca="1" si="63"/>
        <v>13</v>
      </c>
      <c r="K341" s="5">
        <f t="shared" ca="1" si="64"/>
        <v>0</v>
      </c>
      <c r="L341" s="5">
        <f t="shared" ca="1" si="56"/>
        <v>267</v>
      </c>
      <c r="M341" s="11">
        <f t="shared" ca="1" si="65"/>
        <v>1</v>
      </c>
    </row>
    <row r="342" spans="2:13" x14ac:dyDescent="0.25">
      <c r="B342" s="2">
        <v>335</v>
      </c>
      <c r="C342" s="5">
        <f t="shared" ca="1" si="57"/>
        <v>13</v>
      </c>
      <c r="D342" s="5">
        <f t="shared" ca="1" si="58"/>
        <v>267</v>
      </c>
      <c r="E342" s="5">
        <f t="shared" ca="1" si="59"/>
        <v>280</v>
      </c>
      <c r="F342" s="5">
        <f t="shared" ca="1" si="60"/>
        <v>0</v>
      </c>
      <c r="G342" s="5">
        <f t="shared" ca="1" si="55"/>
        <v>111</v>
      </c>
      <c r="H342" s="5">
        <f t="shared" ca="1" si="61"/>
        <v>0</v>
      </c>
      <c r="I342" s="5">
        <f t="shared" ca="1" si="62"/>
        <v>111</v>
      </c>
      <c r="J342" s="5">
        <f t="shared" ca="1" si="63"/>
        <v>169</v>
      </c>
      <c r="K342" s="5">
        <f t="shared" ca="1" si="64"/>
        <v>0</v>
      </c>
      <c r="L342" s="5">
        <f t="shared" ca="1" si="56"/>
        <v>111</v>
      </c>
      <c r="M342" s="11">
        <f t="shared" ca="1" si="65"/>
        <v>1</v>
      </c>
    </row>
    <row r="343" spans="2:13" x14ac:dyDescent="0.25">
      <c r="B343" s="2">
        <v>336</v>
      </c>
      <c r="C343" s="5">
        <f t="shared" ca="1" si="57"/>
        <v>169</v>
      </c>
      <c r="D343" s="5">
        <f t="shared" ca="1" si="58"/>
        <v>111</v>
      </c>
      <c r="E343" s="5">
        <f t="shared" ca="1" si="59"/>
        <v>280</v>
      </c>
      <c r="F343" s="5">
        <f t="shared" ca="1" si="60"/>
        <v>0</v>
      </c>
      <c r="G343" s="5">
        <f t="shared" ca="1" si="55"/>
        <v>105</v>
      </c>
      <c r="H343" s="5">
        <f t="shared" ca="1" si="61"/>
        <v>0</v>
      </c>
      <c r="I343" s="5">
        <f t="shared" ca="1" si="62"/>
        <v>105</v>
      </c>
      <c r="J343" s="5">
        <f t="shared" ca="1" si="63"/>
        <v>175</v>
      </c>
      <c r="K343" s="5">
        <f t="shared" ca="1" si="64"/>
        <v>0</v>
      </c>
      <c r="L343" s="5">
        <f t="shared" ca="1" si="56"/>
        <v>105</v>
      </c>
      <c r="M343" s="11">
        <f t="shared" ca="1" si="65"/>
        <v>1</v>
      </c>
    </row>
    <row r="344" spans="2:13" x14ac:dyDescent="0.25">
      <c r="B344" s="2">
        <v>337</v>
      </c>
      <c r="C344" s="5">
        <f t="shared" ca="1" si="57"/>
        <v>175</v>
      </c>
      <c r="D344" s="5">
        <f t="shared" ca="1" si="58"/>
        <v>105</v>
      </c>
      <c r="E344" s="5">
        <f t="shared" ca="1" si="59"/>
        <v>280</v>
      </c>
      <c r="F344" s="5">
        <f t="shared" ca="1" si="60"/>
        <v>0</v>
      </c>
      <c r="G344" s="5">
        <f t="shared" ca="1" si="55"/>
        <v>271</v>
      </c>
      <c r="H344" s="5">
        <f t="shared" ca="1" si="61"/>
        <v>0</v>
      </c>
      <c r="I344" s="5">
        <f t="shared" ca="1" si="62"/>
        <v>271</v>
      </c>
      <c r="J344" s="5">
        <f t="shared" ca="1" si="63"/>
        <v>9</v>
      </c>
      <c r="K344" s="5">
        <f t="shared" ca="1" si="64"/>
        <v>0</v>
      </c>
      <c r="L344" s="5">
        <f t="shared" ca="1" si="56"/>
        <v>271</v>
      </c>
      <c r="M344" s="11">
        <f t="shared" ca="1" si="65"/>
        <v>1</v>
      </c>
    </row>
    <row r="345" spans="2:13" x14ac:dyDescent="0.25">
      <c r="B345" s="2">
        <v>338</v>
      </c>
      <c r="C345" s="5">
        <f t="shared" ca="1" si="57"/>
        <v>9</v>
      </c>
      <c r="D345" s="5">
        <f t="shared" ca="1" si="58"/>
        <v>271</v>
      </c>
      <c r="E345" s="5">
        <f t="shared" ca="1" si="59"/>
        <v>280</v>
      </c>
      <c r="F345" s="5">
        <f t="shared" ca="1" si="60"/>
        <v>0</v>
      </c>
      <c r="G345" s="5">
        <f t="shared" ca="1" si="55"/>
        <v>128</v>
      </c>
      <c r="H345" s="5">
        <f t="shared" ca="1" si="61"/>
        <v>0</v>
      </c>
      <c r="I345" s="5">
        <f t="shared" ca="1" si="62"/>
        <v>128</v>
      </c>
      <c r="J345" s="5">
        <f t="shared" ca="1" si="63"/>
        <v>152</v>
      </c>
      <c r="K345" s="5">
        <f t="shared" ca="1" si="64"/>
        <v>0</v>
      </c>
      <c r="L345" s="5">
        <f t="shared" ca="1" si="56"/>
        <v>128</v>
      </c>
      <c r="M345" s="11">
        <f t="shared" ca="1" si="65"/>
        <v>1</v>
      </c>
    </row>
    <row r="346" spans="2:13" x14ac:dyDescent="0.25">
      <c r="B346" s="2">
        <v>339</v>
      </c>
      <c r="C346" s="5">
        <f t="shared" ca="1" si="57"/>
        <v>152</v>
      </c>
      <c r="D346" s="5">
        <f t="shared" ca="1" si="58"/>
        <v>128</v>
      </c>
      <c r="E346" s="5">
        <f t="shared" ca="1" si="59"/>
        <v>280</v>
      </c>
      <c r="F346" s="5">
        <f t="shared" ca="1" si="60"/>
        <v>0</v>
      </c>
      <c r="G346" s="5">
        <f t="shared" ca="1" si="55"/>
        <v>201</v>
      </c>
      <c r="H346" s="5">
        <f t="shared" ca="1" si="61"/>
        <v>0</v>
      </c>
      <c r="I346" s="5">
        <f t="shared" ca="1" si="62"/>
        <v>201</v>
      </c>
      <c r="J346" s="5">
        <f t="shared" ca="1" si="63"/>
        <v>79</v>
      </c>
      <c r="K346" s="5">
        <f t="shared" ca="1" si="64"/>
        <v>0</v>
      </c>
      <c r="L346" s="5">
        <f t="shared" ca="1" si="56"/>
        <v>201</v>
      </c>
      <c r="M346" s="11">
        <f t="shared" ca="1" si="65"/>
        <v>1</v>
      </c>
    </row>
    <row r="347" spans="2:13" x14ac:dyDescent="0.25">
      <c r="B347" s="2">
        <v>340</v>
      </c>
      <c r="C347" s="5">
        <f t="shared" ca="1" si="57"/>
        <v>79</v>
      </c>
      <c r="D347" s="5">
        <f t="shared" ca="1" si="58"/>
        <v>201</v>
      </c>
      <c r="E347" s="5">
        <f t="shared" ca="1" si="59"/>
        <v>280</v>
      </c>
      <c r="F347" s="5">
        <f t="shared" ca="1" si="60"/>
        <v>0</v>
      </c>
      <c r="G347" s="5">
        <f t="shared" ca="1" si="55"/>
        <v>228</v>
      </c>
      <c r="H347" s="5">
        <f t="shared" ca="1" si="61"/>
        <v>0</v>
      </c>
      <c r="I347" s="5">
        <f t="shared" ca="1" si="62"/>
        <v>228</v>
      </c>
      <c r="J347" s="5">
        <f t="shared" ca="1" si="63"/>
        <v>52</v>
      </c>
      <c r="K347" s="5">
        <f t="shared" ca="1" si="64"/>
        <v>0</v>
      </c>
      <c r="L347" s="5">
        <f t="shared" ca="1" si="56"/>
        <v>228</v>
      </c>
      <c r="M347" s="11">
        <f t="shared" ca="1" si="65"/>
        <v>1</v>
      </c>
    </row>
    <row r="348" spans="2:13" x14ac:dyDescent="0.25">
      <c r="B348" s="2">
        <v>341</v>
      </c>
      <c r="C348" s="5">
        <f t="shared" ca="1" si="57"/>
        <v>52</v>
      </c>
      <c r="D348" s="5">
        <f t="shared" ca="1" si="58"/>
        <v>228</v>
      </c>
      <c r="E348" s="5">
        <f t="shared" ca="1" si="59"/>
        <v>280</v>
      </c>
      <c r="F348" s="5">
        <f t="shared" ca="1" si="60"/>
        <v>0</v>
      </c>
      <c r="G348" s="5">
        <f t="shared" ca="1" si="55"/>
        <v>259</v>
      </c>
      <c r="H348" s="5">
        <f t="shared" ca="1" si="61"/>
        <v>0</v>
      </c>
      <c r="I348" s="5">
        <f t="shared" ca="1" si="62"/>
        <v>259</v>
      </c>
      <c r="J348" s="5">
        <f t="shared" ca="1" si="63"/>
        <v>21</v>
      </c>
      <c r="K348" s="5">
        <f t="shared" ca="1" si="64"/>
        <v>0</v>
      </c>
      <c r="L348" s="5">
        <f t="shared" ca="1" si="56"/>
        <v>259</v>
      </c>
      <c r="M348" s="11">
        <f t="shared" ca="1" si="65"/>
        <v>1</v>
      </c>
    </row>
    <row r="349" spans="2:13" x14ac:dyDescent="0.25">
      <c r="B349" s="2">
        <v>342</v>
      </c>
      <c r="C349" s="5">
        <f t="shared" ca="1" si="57"/>
        <v>21</v>
      </c>
      <c r="D349" s="5">
        <f t="shared" ca="1" si="58"/>
        <v>259</v>
      </c>
      <c r="E349" s="5">
        <f t="shared" ca="1" si="59"/>
        <v>280</v>
      </c>
      <c r="F349" s="5">
        <f t="shared" ca="1" si="60"/>
        <v>0</v>
      </c>
      <c r="G349" s="5">
        <f t="shared" ca="1" si="55"/>
        <v>232</v>
      </c>
      <c r="H349" s="5">
        <f t="shared" ca="1" si="61"/>
        <v>0</v>
      </c>
      <c r="I349" s="5">
        <f t="shared" ca="1" si="62"/>
        <v>232</v>
      </c>
      <c r="J349" s="5">
        <f t="shared" ca="1" si="63"/>
        <v>48</v>
      </c>
      <c r="K349" s="5">
        <f t="shared" ca="1" si="64"/>
        <v>0</v>
      </c>
      <c r="L349" s="5">
        <f t="shared" ca="1" si="56"/>
        <v>232</v>
      </c>
      <c r="M349" s="11">
        <f t="shared" ca="1" si="65"/>
        <v>1</v>
      </c>
    </row>
    <row r="350" spans="2:13" x14ac:dyDescent="0.25">
      <c r="B350" s="2">
        <v>343</v>
      </c>
      <c r="C350" s="5">
        <f t="shared" ca="1" si="57"/>
        <v>48</v>
      </c>
      <c r="D350" s="5">
        <f t="shared" ca="1" si="58"/>
        <v>232</v>
      </c>
      <c r="E350" s="5">
        <f t="shared" ca="1" si="59"/>
        <v>280</v>
      </c>
      <c r="F350" s="5">
        <f t="shared" ca="1" si="60"/>
        <v>0</v>
      </c>
      <c r="G350" s="5">
        <f t="shared" ca="1" si="55"/>
        <v>136</v>
      </c>
      <c r="H350" s="5">
        <f t="shared" ca="1" si="61"/>
        <v>0</v>
      </c>
      <c r="I350" s="5">
        <f t="shared" ca="1" si="62"/>
        <v>136</v>
      </c>
      <c r="J350" s="5">
        <f t="shared" ca="1" si="63"/>
        <v>144</v>
      </c>
      <c r="K350" s="5">
        <f t="shared" ca="1" si="64"/>
        <v>0</v>
      </c>
      <c r="L350" s="5">
        <f t="shared" ca="1" si="56"/>
        <v>136</v>
      </c>
      <c r="M350" s="11">
        <f t="shared" ca="1" si="65"/>
        <v>1</v>
      </c>
    </row>
    <row r="351" spans="2:13" x14ac:dyDescent="0.25">
      <c r="B351" s="2">
        <v>344</v>
      </c>
      <c r="C351" s="5">
        <f t="shared" ca="1" si="57"/>
        <v>144</v>
      </c>
      <c r="D351" s="5">
        <f t="shared" ca="1" si="58"/>
        <v>136</v>
      </c>
      <c r="E351" s="5">
        <f t="shared" ca="1" si="59"/>
        <v>280</v>
      </c>
      <c r="F351" s="5">
        <f t="shared" ca="1" si="60"/>
        <v>0</v>
      </c>
      <c r="G351" s="5">
        <f t="shared" ca="1" si="55"/>
        <v>157</v>
      </c>
      <c r="H351" s="5">
        <f t="shared" ca="1" si="61"/>
        <v>0</v>
      </c>
      <c r="I351" s="5">
        <f t="shared" ca="1" si="62"/>
        <v>157</v>
      </c>
      <c r="J351" s="5">
        <f t="shared" ca="1" si="63"/>
        <v>123</v>
      </c>
      <c r="K351" s="5">
        <f t="shared" ca="1" si="64"/>
        <v>0</v>
      </c>
      <c r="L351" s="5">
        <f t="shared" ca="1" si="56"/>
        <v>157</v>
      </c>
      <c r="M351" s="11">
        <f t="shared" ca="1" si="65"/>
        <v>1</v>
      </c>
    </row>
    <row r="352" spans="2:13" x14ac:dyDescent="0.25">
      <c r="B352" s="2">
        <v>345</v>
      </c>
      <c r="C352" s="5">
        <f t="shared" ca="1" si="57"/>
        <v>123</v>
      </c>
      <c r="D352" s="5">
        <f t="shared" ca="1" si="58"/>
        <v>157</v>
      </c>
      <c r="E352" s="5">
        <f t="shared" ca="1" si="59"/>
        <v>280</v>
      </c>
      <c r="F352" s="5">
        <f t="shared" ca="1" si="60"/>
        <v>0</v>
      </c>
      <c r="G352" s="5">
        <f t="shared" ca="1" si="55"/>
        <v>226</v>
      </c>
      <c r="H352" s="5">
        <f t="shared" ca="1" si="61"/>
        <v>0</v>
      </c>
      <c r="I352" s="5">
        <f t="shared" ca="1" si="62"/>
        <v>226</v>
      </c>
      <c r="J352" s="5">
        <f t="shared" ca="1" si="63"/>
        <v>54</v>
      </c>
      <c r="K352" s="5">
        <f t="shared" ca="1" si="64"/>
        <v>0</v>
      </c>
      <c r="L352" s="5">
        <f t="shared" ca="1" si="56"/>
        <v>226</v>
      </c>
      <c r="M352" s="11">
        <f t="shared" ca="1" si="65"/>
        <v>1</v>
      </c>
    </row>
    <row r="353" spans="2:13" x14ac:dyDescent="0.25">
      <c r="B353" s="2">
        <v>346</v>
      </c>
      <c r="C353" s="5">
        <f t="shared" ca="1" si="57"/>
        <v>54</v>
      </c>
      <c r="D353" s="5">
        <f t="shared" ca="1" si="58"/>
        <v>226</v>
      </c>
      <c r="E353" s="5">
        <f t="shared" ca="1" si="59"/>
        <v>280</v>
      </c>
      <c r="F353" s="5">
        <f t="shared" ca="1" si="60"/>
        <v>0</v>
      </c>
      <c r="G353" s="5">
        <f t="shared" ca="1" si="55"/>
        <v>153</v>
      </c>
      <c r="H353" s="5">
        <f t="shared" ca="1" si="61"/>
        <v>0</v>
      </c>
      <c r="I353" s="5">
        <f t="shared" ca="1" si="62"/>
        <v>153</v>
      </c>
      <c r="J353" s="5">
        <f t="shared" ca="1" si="63"/>
        <v>127</v>
      </c>
      <c r="K353" s="5">
        <f t="shared" ca="1" si="64"/>
        <v>0</v>
      </c>
      <c r="L353" s="5">
        <f t="shared" ca="1" si="56"/>
        <v>153</v>
      </c>
      <c r="M353" s="11">
        <f t="shared" ca="1" si="65"/>
        <v>1</v>
      </c>
    </row>
    <row r="354" spans="2:13" x14ac:dyDescent="0.25">
      <c r="B354" s="2">
        <v>347</v>
      </c>
      <c r="C354" s="5">
        <f t="shared" ca="1" si="57"/>
        <v>127</v>
      </c>
      <c r="D354" s="5">
        <f t="shared" ca="1" si="58"/>
        <v>153</v>
      </c>
      <c r="E354" s="5">
        <f t="shared" ca="1" si="59"/>
        <v>280</v>
      </c>
      <c r="F354" s="5">
        <f t="shared" ca="1" si="60"/>
        <v>0</v>
      </c>
      <c r="G354" s="5">
        <f t="shared" ca="1" si="55"/>
        <v>276</v>
      </c>
      <c r="H354" s="5">
        <f t="shared" ca="1" si="61"/>
        <v>0</v>
      </c>
      <c r="I354" s="5">
        <f t="shared" ca="1" si="62"/>
        <v>276</v>
      </c>
      <c r="J354" s="5">
        <f t="shared" ca="1" si="63"/>
        <v>4</v>
      </c>
      <c r="K354" s="5">
        <f t="shared" ca="1" si="64"/>
        <v>0</v>
      </c>
      <c r="L354" s="5">
        <f t="shared" ca="1" si="56"/>
        <v>276</v>
      </c>
      <c r="M354" s="11">
        <f t="shared" ca="1" si="65"/>
        <v>1</v>
      </c>
    </row>
    <row r="355" spans="2:13" x14ac:dyDescent="0.25">
      <c r="B355" s="2">
        <v>348</v>
      </c>
      <c r="C355" s="5">
        <f t="shared" ca="1" si="57"/>
        <v>4</v>
      </c>
      <c r="D355" s="5">
        <f t="shared" ca="1" si="58"/>
        <v>276</v>
      </c>
      <c r="E355" s="5">
        <f t="shared" ca="1" si="59"/>
        <v>280</v>
      </c>
      <c r="F355" s="5">
        <f t="shared" ca="1" si="60"/>
        <v>0</v>
      </c>
      <c r="G355" s="5">
        <f t="shared" ca="1" si="55"/>
        <v>179</v>
      </c>
      <c r="H355" s="5">
        <f t="shared" ca="1" si="61"/>
        <v>0</v>
      </c>
      <c r="I355" s="5">
        <f t="shared" ca="1" si="62"/>
        <v>179</v>
      </c>
      <c r="J355" s="5">
        <f t="shared" ca="1" si="63"/>
        <v>101</v>
      </c>
      <c r="K355" s="5">
        <f t="shared" ca="1" si="64"/>
        <v>0</v>
      </c>
      <c r="L355" s="5">
        <f t="shared" ca="1" si="56"/>
        <v>179</v>
      </c>
      <c r="M355" s="11">
        <f t="shared" ca="1" si="65"/>
        <v>1</v>
      </c>
    </row>
    <row r="356" spans="2:13" x14ac:dyDescent="0.25">
      <c r="B356" s="2">
        <v>349</v>
      </c>
      <c r="C356" s="5">
        <f t="shared" ca="1" si="57"/>
        <v>101</v>
      </c>
      <c r="D356" s="5">
        <f t="shared" ca="1" si="58"/>
        <v>179</v>
      </c>
      <c r="E356" s="5">
        <f t="shared" ca="1" si="59"/>
        <v>280</v>
      </c>
      <c r="F356" s="5">
        <f t="shared" ca="1" si="60"/>
        <v>0</v>
      </c>
      <c r="G356" s="5">
        <f t="shared" ca="1" si="55"/>
        <v>177</v>
      </c>
      <c r="H356" s="5">
        <f t="shared" ca="1" si="61"/>
        <v>0</v>
      </c>
      <c r="I356" s="5">
        <f t="shared" ca="1" si="62"/>
        <v>177</v>
      </c>
      <c r="J356" s="5">
        <f t="shared" ca="1" si="63"/>
        <v>103</v>
      </c>
      <c r="K356" s="5">
        <f t="shared" ca="1" si="64"/>
        <v>0</v>
      </c>
      <c r="L356" s="5">
        <f t="shared" ca="1" si="56"/>
        <v>177</v>
      </c>
      <c r="M356" s="11">
        <f t="shared" ca="1" si="65"/>
        <v>1</v>
      </c>
    </row>
    <row r="357" spans="2:13" x14ac:dyDescent="0.25">
      <c r="B357" s="2">
        <v>350</v>
      </c>
      <c r="C357" s="5">
        <f t="shared" ca="1" si="57"/>
        <v>103</v>
      </c>
      <c r="D357" s="5">
        <f t="shared" ca="1" si="58"/>
        <v>177</v>
      </c>
      <c r="E357" s="5">
        <f t="shared" ca="1" si="59"/>
        <v>280</v>
      </c>
      <c r="F357" s="5">
        <f t="shared" ca="1" si="60"/>
        <v>0</v>
      </c>
      <c r="G357" s="5">
        <f t="shared" ca="1" si="55"/>
        <v>107</v>
      </c>
      <c r="H357" s="5">
        <f t="shared" ca="1" si="61"/>
        <v>0</v>
      </c>
      <c r="I357" s="5">
        <f t="shared" ca="1" si="62"/>
        <v>107</v>
      </c>
      <c r="J357" s="5">
        <f t="shared" ca="1" si="63"/>
        <v>173</v>
      </c>
      <c r="K357" s="5">
        <f t="shared" ca="1" si="64"/>
        <v>0</v>
      </c>
      <c r="L357" s="5">
        <f t="shared" ca="1" si="56"/>
        <v>107</v>
      </c>
      <c r="M357" s="11">
        <f t="shared" ca="1" si="65"/>
        <v>1</v>
      </c>
    </row>
    <row r="358" spans="2:13" x14ac:dyDescent="0.25">
      <c r="B358" s="2">
        <v>351</v>
      </c>
      <c r="C358" s="5">
        <f t="shared" ca="1" si="57"/>
        <v>173</v>
      </c>
      <c r="D358" s="5">
        <f t="shared" ca="1" si="58"/>
        <v>107</v>
      </c>
      <c r="E358" s="5">
        <f t="shared" ca="1" si="59"/>
        <v>280</v>
      </c>
      <c r="F358" s="5">
        <f t="shared" ca="1" si="60"/>
        <v>0</v>
      </c>
      <c r="G358" s="5">
        <f t="shared" ca="1" si="55"/>
        <v>235</v>
      </c>
      <c r="H358" s="5">
        <f t="shared" ca="1" si="61"/>
        <v>0</v>
      </c>
      <c r="I358" s="5">
        <f t="shared" ca="1" si="62"/>
        <v>235</v>
      </c>
      <c r="J358" s="5">
        <f t="shared" ca="1" si="63"/>
        <v>45</v>
      </c>
      <c r="K358" s="5">
        <f t="shared" ca="1" si="64"/>
        <v>0</v>
      </c>
      <c r="L358" s="5">
        <f t="shared" ca="1" si="56"/>
        <v>235</v>
      </c>
      <c r="M358" s="11">
        <f t="shared" ca="1" si="65"/>
        <v>1</v>
      </c>
    </row>
    <row r="359" spans="2:13" x14ac:dyDescent="0.25">
      <c r="B359" s="2">
        <v>352</v>
      </c>
      <c r="C359" s="5">
        <f t="shared" ca="1" si="57"/>
        <v>45</v>
      </c>
      <c r="D359" s="5">
        <f t="shared" ca="1" si="58"/>
        <v>235</v>
      </c>
      <c r="E359" s="5">
        <f t="shared" ca="1" si="59"/>
        <v>280</v>
      </c>
      <c r="F359" s="5">
        <f t="shared" ca="1" si="60"/>
        <v>0</v>
      </c>
      <c r="G359" s="5">
        <f t="shared" ca="1" si="55"/>
        <v>251</v>
      </c>
      <c r="H359" s="5">
        <f t="shared" ca="1" si="61"/>
        <v>0</v>
      </c>
      <c r="I359" s="5">
        <f t="shared" ca="1" si="62"/>
        <v>251</v>
      </c>
      <c r="J359" s="5">
        <f t="shared" ca="1" si="63"/>
        <v>29</v>
      </c>
      <c r="K359" s="5">
        <f t="shared" ca="1" si="64"/>
        <v>0</v>
      </c>
      <c r="L359" s="5">
        <f t="shared" ca="1" si="56"/>
        <v>251</v>
      </c>
      <c r="M359" s="11">
        <f t="shared" ca="1" si="65"/>
        <v>1</v>
      </c>
    </row>
    <row r="360" spans="2:13" x14ac:dyDescent="0.25">
      <c r="B360" s="2">
        <v>353</v>
      </c>
      <c r="C360" s="5">
        <f t="shared" ca="1" si="57"/>
        <v>29</v>
      </c>
      <c r="D360" s="5">
        <f t="shared" ca="1" si="58"/>
        <v>251</v>
      </c>
      <c r="E360" s="5">
        <f t="shared" ca="1" si="59"/>
        <v>280</v>
      </c>
      <c r="F360" s="5">
        <f t="shared" ca="1" si="60"/>
        <v>0</v>
      </c>
      <c r="G360" s="5">
        <f t="shared" ca="1" si="55"/>
        <v>161</v>
      </c>
      <c r="H360" s="5">
        <f t="shared" ca="1" si="61"/>
        <v>0</v>
      </c>
      <c r="I360" s="5">
        <f t="shared" ca="1" si="62"/>
        <v>161</v>
      </c>
      <c r="J360" s="5">
        <f t="shared" ca="1" si="63"/>
        <v>119</v>
      </c>
      <c r="K360" s="5">
        <f t="shared" ca="1" si="64"/>
        <v>0</v>
      </c>
      <c r="L360" s="5">
        <f t="shared" ca="1" si="56"/>
        <v>161</v>
      </c>
      <c r="M360" s="11">
        <f t="shared" ca="1" si="65"/>
        <v>1</v>
      </c>
    </row>
    <row r="361" spans="2:13" x14ac:dyDescent="0.25">
      <c r="B361" s="2">
        <v>354</v>
      </c>
      <c r="C361" s="5">
        <f t="shared" ca="1" si="57"/>
        <v>119</v>
      </c>
      <c r="D361" s="5">
        <f t="shared" ca="1" si="58"/>
        <v>161</v>
      </c>
      <c r="E361" s="5">
        <f t="shared" ca="1" si="59"/>
        <v>280</v>
      </c>
      <c r="F361" s="5">
        <f t="shared" ca="1" si="60"/>
        <v>0</v>
      </c>
      <c r="G361" s="5">
        <f t="shared" ca="1" si="55"/>
        <v>232</v>
      </c>
      <c r="H361" s="5">
        <f t="shared" ca="1" si="61"/>
        <v>0</v>
      </c>
      <c r="I361" s="5">
        <f t="shared" ca="1" si="62"/>
        <v>232</v>
      </c>
      <c r="J361" s="5">
        <f t="shared" ca="1" si="63"/>
        <v>48</v>
      </c>
      <c r="K361" s="5">
        <f t="shared" ca="1" si="64"/>
        <v>0</v>
      </c>
      <c r="L361" s="5">
        <f t="shared" ca="1" si="56"/>
        <v>232</v>
      </c>
      <c r="M361" s="11">
        <f t="shared" ca="1" si="65"/>
        <v>1</v>
      </c>
    </row>
    <row r="362" spans="2:13" x14ac:dyDescent="0.25">
      <c r="B362" s="2">
        <v>355</v>
      </c>
      <c r="C362" s="5">
        <f t="shared" ca="1" si="57"/>
        <v>48</v>
      </c>
      <c r="D362" s="5">
        <f t="shared" ca="1" si="58"/>
        <v>232</v>
      </c>
      <c r="E362" s="5">
        <f t="shared" ca="1" si="59"/>
        <v>280</v>
      </c>
      <c r="F362" s="5">
        <f t="shared" ca="1" si="60"/>
        <v>0</v>
      </c>
      <c r="G362" s="5">
        <f t="shared" ca="1" si="55"/>
        <v>209</v>
      </c>
      <c r="H362" s="5">
        <f t="shared" ca="1" si="61"/>
        <v>0</v>
      </c>
      <c r="I362" s="5">
        <f t="shared" ca="1" si="62"/>
        <v>209</v>
      </c>
      <c r="J362" s="5">
        <f t="shared" ca="1" si="63"/>
        <v>71</v>
      </c>
      <c r="K362" s="5">
        <f t="shared" ca="1" si="64"/>
        <v>0</v>
      </c>
      <c r="L362" s="5">
        <f t="shared" ca="1" si="56"/>
        <v>209</v>
      </c>
      <c r="M362" s="11">
        <f t="shared" ca="1" si="65"/>
        <v>1</v>
      </c>
    </row>
    <row r="363" spans="2:13" x14ac:dyDescent="0.25">
      <c r="B363" s="2">
        <v>356</v>
      </c>
      <c r="C363" s="5">
        <f t="shared" ca="1" si="57"/>
        <v>71</v>
      </c>
      <c r="D363" s="5">
        <f t="shared" ca="1" si="58"/>
        <v>209</v>
      </c>
      <c r="E363" s="5">
        <f t="shared" ca="1" si="59"/>
        <v>280</v>
      </c>
      <c r="F363" s="5">
        <f t="shared" ca="1" si="60"/>
        <v>0</v>
      </c>
      <c r="G363" s="5">
        <f t="shared" ca="1" si="55"/>
        <v>281</v>
      </c>
      <c r="H363" s="5">
        <f t="shared" ca="1" si="61"/>
        <v>0</v>
      </c>
      <c r="I363" s="5">
        <f t="shared" ca="1" si="62"/>
        <v>280</v>
      </c>
      <c r="J363" s="5">
        <f t="shared" ca="1" si="63"/>
        <v>0</v>
      </c>
      <c r="K363" s="5">
        <f t="shared" ca="1" si="64"/>
        <v>1</v>
      </c>
      <c r="L363" s="5">
        <f t="shared" ca="1" si="56"/>
        <v>281</v>
      </c>
      <c r="M363" s="11">
        <f t="shared" ca="1" si="65"/>
        <v>0.99644128113879005</v>
      </c>
    </row>
    <row r="364" spans="2:13" x14ac:dyDescent="0.25">
      <c r="B364" s="2">
        <v>357</v>
      </c>
      <c r="C364" s="5">
        <f t="shared" ca="1" si="57"/>
        <v>0</v>
      </c>
      <c r="D364" s="5">
        <f t="shared" ca="1" si="58"/>
        <v>281</v>
      </c>
      <c r="E364" s="5">
        <f t="shared" ca="1" si="59"/>
        <v>281</v>
      </c>
      <c r="F364" s="5">
        <f t="shared" ca="1" si="60"/>
        <v>1</v>
      </c>
      <c r="G364" s="5">
        <f t="shared" ca="1" si="55"/>
        <v>239</v>
      </c>
      <c r="H364" s="5">
        <f t="shared" ca="1" si="61"/>
        <v>1</v>
      </c>
      <c r="I364" s="5">
        <f t="shared" ca="1" si="62"/>
        <v>239</v>
      </c>
      <c r="J364" s="5">
        <f t="shared" ca="1" si="63"/>
        <v>41</v>
      </c>
      <c r="K364" s="5">
        <f t="shared" ca="1" si="64"/>
        <v>0</v>
      </c>
      <c r="L364" s="5">
        <f t="shared" ca="1" si="56"/>
        <v>239</v>
      </c>
      <c r="M364" s="11">
        <f t="shared" ca="1" si="65"/>
        <v>1</v>
      </c>
    </row>
    <row r="365" spans="2:13" x14ac:dyDescent="0.25">
      <c r="B365" s="2">
        <v>358</v>
      </c>
      <c r="C365" s="5">
        <f t="shared" ca="1" si="57"/>
        <v>41</v>
      </c>
      <c r="D365" s="5">
        <f t="shared" ca="1" si="58"/>
        <v>239</v>
      </c>
      <c r="E365" s="5">
        <f t="shared" ca="1" si="59"/>
        <v>280</v>
      </c>
      <c r="F365" s="5">
        <f t="shared" ca="1" si="60"/>
        <v>0</v>
      </c>
      <c r="G365" s="5">
        <f t="shared" ca="1" si="55"/>
        <v>250</v>
      </c>
      <c r="H365" s="5">
        <f t="shared" ca="1" si="61"/>
        <v>0</v>
      </c>
      <c r="I365" s="5">
        <f t="shared" ca="1" si="62"/>
        <v>250</v>
      </c>
      <c r="J365" s="5">
        <f t="shared" ca="1" si="63"/>
        <v>30</v>
      </c>
      <c r="K365" s="5">
        <f t="shared" ca="1" si="64"/>
        <v>0</v>
      </c>
      <c r="L365" s="5">
        <f t="shared" ca="1" si="56"/>
        <v>250</v>
      </c>
      <c r="M365" s="11">
        <f t="shared" ca="1" si="65"/>
        <v>1</v>
      </c>
    </row>
    <row r="366" spans="2:13" x14ac:dyDescent="0.25">
      <c r="B366" s="2">
        <v>359</v>
      </c>
      <c r="C366" s="5">
        <f t="shared" ca="1" si="57"/>
        <v>30</v>
      </c>
      <c r="D366" s="5">
        <f t="shared" ca="1" si="58"/>
        <v>250</v>
      </c>
      <c r="E366" s="5">
        <f t="shared" ca="1" si="59"/>
        <v>280</v>
      </c>
      <c r="F366" s="5">
        <f t="shared" ca="1" si="60"/>
        <v>0</v>
      </c>
      <c r="G366" s="5">
        <f t="shared" ca="1" si="55"/>
        <v>203</v>
      </c>
      <c r="H366" s="5">
        <f t="shared" ca="1" si="61"/>
        <v>0</v>
      </c>
      <c r="I366" s="5">
        <f t="shared" ca="1" si="62"/>
        <v>203</v>
      </c>
      <c r="J366" s="5">
        <f t="shared" ca="1" si="63"/>
        <v>77</v>
      </c>
      <c r="K366" s="5">
        <f t="shared" ca="1" si="64"/>
        <v>0</v>
      </c>
      <c r="L366" s="5">
        <f t="shared" ca="1" si="56"/>
        <v>203</v>
      </c>
      <c r="M366" s="11">
        <f t="shared" ca="1" si="65"/>
        <v>1</v>
      </c>
    </row>
    <row r="367" spans="2:13" x14ac:dyDescent="0.25">
      <c r="B367" s="2">
        <v>360</v>
      </c>
      <c r="C367" s="5">
        <f t="shared" ca="1" si="57"/>
        <v>77</v>
      </c>
      <c r="D367" s="5">
        <f t="shared" ca="1" si="58"/>
        <v>203</v>
      </c>
      <c r="E367" s="5">
        <f t="shared" ca="1" si="59"/>
        <v>280</v>
      </c>
      <c r="F367" s="5">
        <f t="shared" ca="1" si="60"/>
        <v>0</v>
      </c>
      <c r="G367" s="5">
        <f t="shared" ca="1" si="55"/>
        <v>288</v>
      </c>
      <c r="H367" s="5">
        <f t="shared" ca="1" si="61"/>
        <v>0</v>
      </c>
      <c r="I367" s="5">
        <f t="shared" ca="1" si="62"/>
        <v>280</v>
      </c>
      <c r="J367" s="5">
        <f t="shared" ca="1" si="63"/>
        <v>0</v>
      </c>
      <c r="K367" s="5">
        <f t="shared" ca="1" si="64"/>
        <v>8</v>
      </c>
      <c r="L367" s="5">
        <f t="shared" ca="1" si="56"/>
        <v>288</v>
      </c>
      <c r="M367" s="11">
        <f t="shared" ca="1" si="65"/>
        <v>0.97222222222222221</v>
      </c>
    </row>
    <row r="368" spans="2:13" x14ac:dyDescent="0.25">
      <c r="B368" s="2">
        <v>361</v>
      </c>
      <c r="C368" s="5">
        <f t="shared" ca="1" si="57"/>
        <v>0</v>
      </c>
      <c r="D368" s="5">
        <f t="shared" ca="1" si="58"/>
        <v>288</v>
      </c>
      <c r="E368" s="5">
        <f t="shared" ca="1" si="59"/>
        <v>288</v>
      </c>
      <c r="F368" s="5">
        <f t="shared" ca="1" si="60"/>
        <v>8</v>
      </c>
      <c r="G368" s="5">
        <f t="shared" ca="1" si="55"/>
        <v>225</v>
      </c>
      <c r="H368" s="5">
        <f t="shared" ca="1" si="61"/>
        <v>8</v>
      </c>
      <c r="I368" s="5">
        <f t="shared" ca="1" si="62"/>
        <v>225</v>
      </c>
      <c r="J368" s="5">
        <f t="shared" ca="1" si="63"/>
        <v>55</v>
      </c>
      <c r="K368" s="5">
        <f t="shared" ca="1" si="64"/>
        <v>0</v>
      </c>
      <c r="L368" s="5">
        <f t="shared" ca="1" si="56"/>
        <v>225</v>
      </c>
      <c r="M368" s="11">
        <f t="shared" ca="1" si="65"/>
        <v>1</v>
      </c>
    </row>
    <row r="369" spans="2:13" x14ac:dyDescent="0.25">
      <c r="B369" s="2">
        <v>362</v>
      </c>
      <c r="C369" s="5">
        <f t="shared" ca="1" si="57"/>
        <v>55</v>
      </c>
      <c r="D369" s="5">
        <f t="shared" ca="1" si="58"/>
        <v>225</v>
      </c>
      <c r="E369" s="5">
        <f t="shared" ca="1" si="59"/>
        <v>280</v>
      </c>
      <c r="F369" s="5">
        <f t="shared" ca="1" si="60"/>
        <v>0</v>
      </c>
      <c r="G369" s="5">
        <f t="shared" ca="1" si="55"/>
        <v>295</v>
      </c>
      <c r="H369" s="5">
        <f t="shared" ca="1" si="61"/>
        <v>0</v>
      </c>
      <c r="I369" s="5">
        <f t="shared" ca="1" si="62"/>
        <v>280</v>
      </c>
      <c r="J369" s="5">
        <f t="shared" ca="1" si="63"/>
        <v>0</v>
      </c>
      <c r="K369" s="5">
        <f t="shared" ca="1" si="64"/>
        <v>15</v>
      </c>
      <c r="L369" s="5">
        <f t="shared" ca="1" si="56"/>
        <v>295</v>
      </c>
      <c r="M369" s="11">
        <f t="shared" ca="1" si="65"/>
        <v>0.94915254237288138</v>
      </c>
    </row>
    <row r="370" spans="2:13" x14ac:dyDescent="0.25">
      <c r="B370" s="2">
        <v>363</v>
      </c>
      <c r="C370" s="5">
        <f t="shared" ca="1" si="57"/>
        <v>0</v>
      </c>
      <c r="D370" s="5">
        <f t="shared" ca="1" si="58"/>
        <v>295</v>
      </c>
      <c r="E370" s="5">
        <f t="shared" ca="1" si="59"/>
        <v>295</v>
      </c>
      <c r="F370" s="5">
        <f t="shared" ca="1" si="60"/>
        <v>15</v>
      </c>
      <c r="G370" s="5">
        <f t="shared" ca="1" si="55"/>
        <v>109</v>
      </c>
      <c r="H370" s="5">
        <f t="shared" ca="1" si="61"/>
        <v>15</v>
      </c>
      <c r="I370" s="5">
        <f t="shared" ca="1" si="62"/>
        <v>109</v>
      </c>
      <c r="J370" s="5">
        <f t="shared" ca="1" si="63"/>
        <v>171</v>
      </c>
      <c r="K370" s="5">
        <f t="shared" ca="1" si="64"/>
        <v>0</v>
      </c>
      <c r="L370" s="5">
        <f t="shared" ca="1" si="56"/>
        <v>109</v>
      </c>
      <c r="M370" s="11">
        <f t="shared" ca="1" si="65"/>
        <v>1</v>
      </c>
    </row>
    <row r="371" spans="2:13" x14ac:dyDescent="0.25">
      <c r="B371" s="2">
        <v>364</v>
      </c>
      <c r="C371" s="5">
        <f t="shared" ca="1" si="57"/>
        <v>171</v>
      </c>
      <c r="D371" s="5">
        <f t="shared" ca="1" si="58"/>
        <v>109</v>
      </c>
      <c r="E371" s="5">
        <f t="shared" ca="1" si="59"/>
        <v>280</v>
      </c>
      <c r="F371" s="5">
        <f t="shared" ca="1" si="60"/>
        <v>0</v>
      </c>
      <c r="G371" s="5">
        <f t="shared" ca="1" si="55"/>
        <v>273</v>
      </c>
      <c r="H371" s="5">
        <f t="shared" ca="1" si="61"/>
        <v>0</v>
      </c>
      <c r="I371" s="5">
        <f t="shared" ca="1" si="62"/>
        <v>273</v>
      </c>
      <c r="J371" s="5">
        <f t="shared" ca="1" si="63"/>
        <v>7</v>
      </c>
      <c r="K371" s="5">
        <f t="shared" ca="1" si="64"/>
        <v>0</v>
      </c>
      <c r="L371" s="5">
        <f t="shared" ca="1" si="56"/>
        <v>273</v>
      </c>
      <c r="M371" s="11">
        <f t="shared" ca="1" si="65"/>
        <v>1</v>
      </c>
    </row>
    <row r="372" spans="2:13" x14ac:dyDescent="0.25">
      <c r="B372" s="1">
        <v>365</v>
      </c>
      <c r="C372" s="6">
        <f t="shared" ca="1" si="57"/>
        <v>7</v>
      </c>
      <c r="D372" s="6">
        <f t="shared" ca="1" si="58"/>
        <v>273</v>
      </c>
      <c r="E372" s="6">
        <f t="shared" ca="1" si="59"/>
        <v>280</v>
      </c>
      <c r="F372" s="6">
        <f t="shared" ca="1" si="60"/>
        <v>0</v>
      </c>
      <c r="G372" s="6">
        <f t="shared" ca="1" si="55"/>
        <v>233</v>
      </c>
      <c r="H372" s="6">
        <f t="shared" ca="1" si="61"/>
        <v>0</v>
      </c>
      <c r="I372" s="6">
        <f t="shared" ca="1" si="62"/>
        <v>233</v>
      </c>
      <c r="J372" s="6">
        <f t="shared" ca="1" si="63"/>
        <v>47</v>
      </c>
      <c r="K372" s="6">
        <f t="shared" ca="1" si="64"/>
        <v>0</v>
      </c>
      <c r="L372" s="6">
        <f t="shared" ca="1" si="56"/>
        <v>233</v>
      </c>
      <c r="M372" s="12">
        <f t="shared" ca="1" si="65"/>
        <v>1</v>
      </c>
    </row>
    <row r="373" spans="2:13" x14ac:dyDescent="0.25">
      <c r="M373" s="9"/>
    </row>
    <row r="374" spans="2:13" x14ac:dyDescent="0.25">
      <c r="M374" s="9"/>
    </row>
    <row r="375" spans="2:13" x14ac:dyDescent="0.25">
      <c r="M375" s="9"/>
    </row>
    <row r="376" spans="2:13" x14ac:dyDescent="0.25">
      <c r="M376" s="9"/>
    </row>
    <row r="377" spans="2:13" x14ac:dyDescent="0.25">
      <c r="M377" s="9"/>
    </row>
    <row r="378" spans="2:13" x14ac:dyDescent="0.25">
      <c r="M378" s="9"/>
    </row>
    <row r="379" spans="2:13" x14ac:dyDescent="0.25">
      <c r="M379" s="9"/>
    </row>
    <row r="380" spans="2:13" x14ac:dyDescent="0.25">
      <c r="M380" s="9"/>
    </row>
    <row r="381" spans="2:13" x14ac:dyDescent="0.25">
      <c r="M381" s="9"/>
    </row>
    <row r="382" spans="2:13" x14ac:dyDescent="0.25">
      <c r="M382" s="9"/>
    </row>
    <row r="383" spans="2:13" x14ac:dyDescent="0.25">
      <c r="M383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sults"/>
  <dimension ref="B2:R126"/>
  <sheetViews>
    <sheetView showGridLines="0" workbookViewId="0"/>
  </sheetViews>
  <sheetFormatPr defaultRowHeight="15" x14ac:dyDescent="0.25"/>
  <cols>
    <col min="1" max="1" width="4.42578125" customWidth="1"/>
    <col min="2" max="3" width="12" customWidth="1"/>
    <col min="4" max="6" width="13.42578125" customWidth="1"/>
    <col min="7" max="7" width="3.28515625" customWidth="1"/>
    <col min="8" max="9" width="12" customWidth="1"/>
    <col min="10" max="12" width="13.42578125" customWidth="1"/>
    <col min="13" max="13" width="3.28515625" customWidth="1"/>
    <col min="14" max="15" width="12" customWidth="1"/>
    <col min="16" max="18" width="13.42578125" customWidth="1"/>
  </cols>
  <sheetData>
    <row r="2" spans="2:18" ht="15.75" x14ac:dyDescent="0.25">
      <c r="D2" s="32" t="s">
        <v>21</v>
      </c>
      <c r="E2" s="33"/>
      <c r="F2" s="34"/>
      <c r="J2" s="32" t="s">
        <v>23</v>
      </c>
      <c r="K2" s="33"/>
      <c r="L2" s="34"/>
      <c r="P2" s="32" t="s">
        <v>24</v>
      </c>
      <c r="Q2" s="33"/>
      <c r="R2" s="34"/>
    </row>
    <row r="3" spans="2:18" ht="30" x14ac:dyDescent="0.25">
      <c r="B3" s="21" t="s">
        <v>1</v>
      </c>
      <c r="C3" s="21" t="s">
        <v>2</v>
      </c>
      <c r="D3" s="21" t="s">
        <v>3</v>
      </c>
      <c r="E3" s="21" t="s">
        <v>18</v>
      </c>
      <c r="F3" s="21" t="s">
        <v>19</v>
      </c>
      <c r="H3" s="21" t="s">
        <v>1</v>
      </c>
      <c r="I3" s="21" t="s">
        <v>2</v>
      </c>
      <c r="J3" s="21" t="s">
        <v>3</v>
      </c>
      <c r="K3" s="21" t="s">
        <v>18</v>
      </c>
      <c r="L3" s="21" t="s">
        <v>19</v>
      </c>
      <c r="N3" s="21" t="s">
        <v>1</v>
      </c>
      <c r="O3" s="21" t="s">
        <v>2</v>
      </c>
      <c r="P3" s="21" t="s">
        <v>3</v>
      </c>
      <c r="Q3" s="21" t="s">
        <v>18</v>
      </c>
      <c r="R3" s="21" t="s">
        <v>19</v>
      </c>
    </row>
    <row r="4" spans="2:18" x14ac:dyDescent="0.25">
      <c r="B4" s="15">
        <f>MIN(SimulationResultsInventory)</f>
        <v>74.31506849315069</v>
      </c>
      <c r="C4" s="15">
        <f>MAX(SimulationResultsInventory)</f>
        <v>87.665753424657538</v>
      </c>
      <c r="D4" s="17">
        <f>B4</f>
        <v>74.31506849315069</v>
      </c>
      <c r="E4" s="22">
        <f t="array" ref="E4:E54">FREQUENCY(SimulationResultsInventory,D4:D54)/200</f>
        <v>5.0000000000000001E-3</v>
      </c>
      <c r="F4" s="22">
        <f>E4</f>
        <v>5.0000000000000001E-3</v>
      </c>
      <c r="H4" s="15">
        <f>MIN(SimulationResultsNoStockout)</f>
        <v>6.3013698630136991E-2</v>
      </c>
      <c r="I4" s="15">
        <f>MAX(SimulationResultsNoStockout)</f>
        <v>0.14520547945205478</v>
      </c>
      <c r="J4" s="17">
        <f>H4</f>
        <v>6.3013698630136991E-2</v>
      </c>
      <c r="K4" s="22">
        <f t="array" ref="K4:K54">FREQUENCY(SimulationResultsNoStockout,J4:J54)/200</f>
        <v>0.01</v>
      </c>
      <c r="L4" s="22">
        <f>K4</f>
        <v>0.01</v>
      </c>
      <c r="N4" s="15">
        <f>MIN(SimulationResultsFillRate)</f>
        <v>0.99178595317725748</v>
      </c>
      <c r="O4" s="15">
        <f>MAX(SimulationResultsFillRate)</f>
        <v>0.99714804252009337</v>
      </c>
      <c r="P4" s="17">
        <f>N4</f>
        <v>0.99178595317725748</v>
      </c>
      <c r="Q4" s="22">
        <f t="array" ref="Q4:Q54">FREQUENCY(SimulationResultsFillRate,P4:P54)/200</f>
        <v>5.0000000000000001E-3</v>
      </c>
      <c r="R4" s="22">
        <f>Q4</f>
        <v>5.0000000000000001E-3</v>
      </c>
    </row>
    <row r="5" spans="2:18" x14ac:dyDescent="0.25">
      <c r="D5" s="19">
        <f>D4+(C$4-B$4)/50</f>
        <v>74.582082191780827</v>
      </c>
      <c r="E5" s="23">
        <v>5.0000000000000001E-3</v>
      </c>
      <c r="F5" s="23">
        <f>F4+E5</f>
        <v>0.01</v>
      </c>
      <c r="J5" s="19">
        <f>J4+(I$4-H$4)/50</f>
        <v>6.4657534246575346E-2</v>
      </c>
      <c r="K5" s="23">
        <v>0</v>
      </c>
      <c r="L5" s="23">
        <f>L4+K5</f>
        <v>0.01</v>
      </c>
      <c r="P5" s="19">
        <f>P4+(O$4-N$4)/50</f>
        <v>0.99189319496411421</v>
      </c>
      <c r="Q5" s="23">
        <v>0</v>
      </c>
      <c r="R5" s="23">
        <f>R4+Q5</f>
        <v>5.0000000000000001E-3</v>
      </c>
    </row>
    <row r="6" spans="2:18" x14ac:dyDescent="0.25">
      <c r="D6" s="19">
        <f t="shared" ref="D6:D53" si="0">D5+(C$4-B$4)/50</f>
        <v>74.849095890410965</v>
      </c>
      <c r="E6" s="23">
        <v>5.0000000000000001E-3</v>
      </c>
      <c r="F6" s="23">
        <f t="shared" ref="F6:F54" si="1">F5+E6</f>
        <v>1.4999999999999999E-2</v>
      </c>
      <c r="J6" s="19">
        <f t="shared" ref="J6:J53" si="2">J5+(I$4-H$4)/50</f>
        <v>6.6301369863013701E-2</v>
      </c>
      <c r="K6" s="23">
        <v>0</v>
      </c>
      <c r="L6" s="23">
        <f t="shared" ref="L6:L54" si="3">L5+K6</f>
        <v>0.01</v>
      </c>
      <c r="P6" s="19">
        <f t="shared" ref="P6:P53" si="4">P5+(O$4-N$4)/50</f>
        <v>0.99200043675097094</v>
      </c>
      <c r="Q6" s="23">
        <v>0</v>
      </c>
      <c r="R6" s="23">
        <f t="shared" ref="R6:R54" si="5">R5+Q6</f>
        <v>5.0000000000000001E-3</v>
      </c>
    </row>
    <row r="7" spans="2:18" x14ac:dyDescent="0.25">
      <c r="D7" s="19">
        <f t="shared" si="0"/>
        <v>75.116109589041102</v>
      </c>
      <c r="E7" s="23">
        <v>5.0000000000000001E-3</v>
      </c>
      <c r="F7" s="23">
        <f t="shared" si="1"/>
        <v>0.02</v>
      </c>
      <c r="J7" s="19">
        <f t="shared" si="2"/>
        <v>6.7945205479452056E-2</v>
      </c>
      <c r="K7" s="23">
        <v>0</v>
      </c>
      <c r="L7" s="23">
        <f t="shared" si="3"/>
        <v>0.01</v>
      </c>
      <c r="P7" s="19">
        <f t="shared" si="4"/>
        <v>0.99210767853782766</v>
      </c>
      <c r="Q7" s="23">
        <v>0</v>
      </c>
      <c r="R7" s="23">
        <f t="shared" si="5"/>
        <v>5.0000000000000001E-3</v>
      </c>
    </row>
    <row r="8" spans="2:18" x14ac:dyDescent="0.25">
      <c r="D8" s="19">
        <f t="shared" si="0"/>
        <v>75.383123287671239</v>
      </c>
      <c r="E8" s="23">
        <v>5.0000000000000001E-3</v>
      </c>
      <c r="F8" s="23">
        <f t="shared" si="1"/>
        <v>2.5000000000000001E-2</v>
      </c>
      <c r="J8" s="19">
        <f t="shared" si="2"/>
        <v>6.9589041095890411E-2</v>
      </c>
      <c r="K8" s="23">
        <v>5.0000000000000001E-3</v>
      </c>
      <c r="L8" s="23">
        <f t="shared" si="3"/>
        <v>1.4999999999999999E-2</v>
      </c>
      <c r="P8" s="19">
        <f t="shared" si="4"/>
        <v>0.99221492032468439</v>
      </c>
      <c r="Q8" s="23">
        <v>0</v>
      </c>
      <c r="R8" s="23">
        <f t="shared" si="5"/>
        <v>5.0000000000000001E-3</v>
      </c>
    </row>
    <row r="9" spans="2:18" x14ac:dyDescent="0.25">
      <c r="D9" s="19">
        <f t="shared" si="0"/>
        <v>75.650136986301376</v>
      </c>
      <c r="E9" s="23">
        <v>5.0000000000000001E-3</v>
      </c>
      <c r="F9" s="23">
        <f t="shared" si="1"/>
        <v>3.0000000000000002E-2</v>
      </c>
      <c r="J9" s="19">
        <f t="shared" si="2"/>
        <v>7.1232876712328766E-2</v>
      </c>
      <c r="K9" s="23">
        <v>1.4999999999999999E-2</v>
      </c>
      <c r="L9" s="23">
        <f t="shared" si="3"/>
        <v>0.03</v>
      </c>
      <c r="P9" s="19">
        <f t="shared" si="4"/>
        <v>0.99232216211154112</v>
      </c>
      <c r="Q9" s="23">
        <v>5.0000000000000001E-3</v>
      </c>
      <c r="R9" s="23">
        <f t="shared" si="5"/>
        <v>0.01</v>
      </c>
    </row>
    <row r="10" spans="2:18" x14ac:dyDescent="0.25">
      <c r="D10" s="19">
        <f t="shared" si="0"/>
        <v>75.917150684931514</v>
      </c>
      <c r="E10" s="23">
        <v>0.01</v>
      </c>
      <c r="F10" s="23">
        <f t="shared" si="1"/>
        <v>0.04</v>
      </c>
      <c r="J10" s="19">
        <f t="shared" si="2"/>
        <v>7.2876712328767121E-2</v>
      </c>
      <c r="K10" s="23">
        <v>0</v>
      </c>
      <c r="L10" s="23">
        <f t="shared" si="3"/>
        <v>0.03</v>
      </c>
      <c r="P10" s="19">
        <f t="shared" si="4"/>
        <v>0.99242940389839784</v>
      </c>
      <c r="Q10" s="23">
        <v>0</v>
      </c>
      <c r="R10" s="23">
        <f t="shared" si="5"/>
        <v>0.01</v>
      </c>
    </row>
    <row r="11" spans="2:18" x14ac:dyDescent="0.25">
      <c r="D11" s="19">
        <f t="shared" si="0"/>
        <v>76.184164383561651</v>
      </c>
      <c r="E11" s="23">
        <v>0.03</v>
      </c>
      <c r="F11" s="23">
        <f t="shared" si="1"/>
        <v>7.0000000000000007E-2</v>
      </c>
      <c r="J11" s="19">
        <f t="shared" si="2"/>
        <v>7.4520547945205476E-2</v>
      </c>
      <c r="K11" s="23">
        <v>0.02</v>
      </c>
      <c r="L11" s="23">
        <f t="shared" si="3"/>
        <v>0.05</v>
      </c>
      <c r="P11" s="19">
        <f t="shared" si="4"/>
        <v>0.99253664568525457</v>
      </c>
      <c r="Q11" s="23">
        <v>5.0000000000000001E-3</v>
      </c>
      <c r="R11" s="23">
        <f t="shared" si="5"/>
        <v>1.4999999999999999E-2</v>
      </c>
    </row>
    <row r="12" spans="2:18" x14ac:dyDescent="0.25">
      <c r="D12" s="19">
        <f t="shared" si="0"/>
        <v>76.451178082191788</v>
      </c>
      <c r="E12" s="23">
        <v>0.01</v>
      </c>
      <c r="F12" s="23">
        <f t="shared" si="1"/>
        <v>0.08</v>
      </c>
      <c r="J12" s="19">
        <f t="shared" si="2"/>
        <v>7.6164383561643831E-2</v>
      </c>
      <c r="K12" s="23">
        <v>0</v>
      </c>
      <c r="L12" s="23">
        <f t="shared" si="3"/>
        <v>0.05</v>
      </c>
      <c r="P12" s="19">
        <f t="shared" si="4"/>
        <v>0.9926438874721113</v>
      </c>
      <c r="Q12" s="23">
        <v>0</v>
      </c>
      <c r="R12" s="23">
        <f t="shared" si="5"/>
        <v>1.4999999999999999E-2</v>
      </c>
    </row>
    <row r="13" spans="2:18" x14ac:dyDescent="0.25">
      <c r="D13" s="19">
        <f t="shared" si="0"/>
        <v>76.718191780821925</v>
      </c>
      <c r="E13" s="23">
        <v>1.4999999999999999E-2</v>
      </c>
      <c r="F13" s="23">
        <f t="shared" si="1"/>
        <v>9.5000000000000001E-2</v>
      </c>
      <c r="J13" s="19">
        <f t="shared" si="2"/>
        <v>7.7808219178082186E-2</v>
      </c>
      <c r="K13" s="23">
        <v>0.05</v>
      </c>
      <c r="L13" s="23">
        <f t="shared" si="3"/>
        <v>0.1</v>
      </c>
      <c r="P13" s="19">
        <f t="shared" si="4"/>
        <v>0.99275112925896802</v>
      </c>
      <c r="Q13" s="23">
        <v>5.0000000000000001E-3</v>
      </c>
      <c r="R13" s="23">
        <f t="shared" si="5"/>
        <v>0.02</v>
      </c>
    </row>
    <row r="14" spans="2:18" x14ac:dyDescent="0.25">
      <c r="D14" s="19">
        <f t="shared" si="0"/>
        <v>76.985205479452063</v>
      </c>
      <c r="E14" s="23">
        <v>1.4999999999999999E-2</v>
      </c>
      <c r="F14" s="23">
        <f t="shared" si="1"/>
        <v>0.11</v>
      </c>
      <c r="J14" s="19">
        <f t="shared" si="2"/>
        <v>7.9452054794520541E-2</v>
      </c>
      <c r="K14" s="23">
        <v>0</v>
      </c>
      <c r="L14" s="23">
        <f t="shared" si="3"/>
        <v>0.1</v>
      </c>
      <c r="P14" s="19">
        <f t="shared" si="4"/>
        <v>0.99285837104582475</v>
      </c>
      <c r="Q14" s="23">
        <v>5.0000000000000001E-3</v>
      </c>
      <c r="R14" s="23">
        <f t="shared" si="5"/>
        <v>2.5000000000000001E-2</v>
      </c>
    </row>
    <row r="15" spans="2:18" x14ac:dyDescent="0.25">
      <c r="D15" s="19">
        <f t="shared" si="0"/>
        <v>77.2522191780822</v>
      </c>
      <c r="E15" s="23">
        <v>1.4999999999999999E-2</v>
      </c>
      <c r="F15" s="23">
        <f t="shared" si="1"/>
        <v>0.125</v>
      </c>
      <c r="J15" s="19">
        <f t="shared" si="2"/>
        <v>8.1095890410958896E-2</v>
      </c>
      <c r="K15" s="23">
        <v>0.03</v>
      </c>
      <c r="L15" s="23">
        <f t="shared" si="3"/>
        <v>0.13</v>
      </c>
      <c r="P15" s="19">
        <f t="shared" si="4"/>
        <v>0.99296561283268148</v>
      </c>
      <c r="Q15" s="23">
        <v>5.0000000000000001E-3</v>
      </c>
      <c r="R15" s="23">
        <f t="shared" si="5"/>
        <v>3.0000000000000002E-2</v>
      </c>
    </row>
    <row r="16" spans="2:18" x14ac:dyDescent="0.25">
      <c r="D16" s="19">
        <f t="shared" si="0"/>
        <v>77.519232876712337</v>
      </c>
      <c r="E16" s="23">
        <v>0.02</v>
      </c>
      <c r="F16" s="23">
        <f t="shared" si="1"/>
        <v>0.14499999999999999</v>
      </c>
      <c r="J16" s="19">
        <f t="shared" si="2"/>
        <v>8.2739726027397251E-2</v>
      </c>
      <c r="K16" s="23">
        <v>4.4999999999999998E-2</v>
      </c>
      <c r="L16" s="23">
        <f t="shared" si="3"/>
        <v>0.17499999999999999</v>
      </c>
      <c r="P16" s="19">
        <f t="shared" si="4"/>
        <v>0.9930728546195382</v>
      </c>
      <c r="Q16" s="23">
        <v>0.01</v>
      </c>
      <c r="R16" s="23">
        <f t="shared" si="5"/>
        <v>0.04</v>
      </c>
    </row>
    <row r="17" spans="4:18" x14ac:dyDescent="0.25">
      <c r="D17" s="19">
        <f t="shared" si="0"/>
        <v>77.786246575342474</v>
      </c>
      <c r="E17" s="23">
        <v>0</v>
      </c>
      <c r="F17" s="23">
        <f t="shared" si="1"/>
        <v>0.14499999999999999</v>
      </c>
      <c r="J17" s="19">
        <f t="shared" si="2"/>
        <v>8.4383561643835606E-2</v>
      </c>
      <c r="K17" s="23">
        <v>0</v>
      </c>
      <c r="L17" s="23">
        <f t="shared" si="3"/>
        <v>0.17499999999999999</v>
      </c>
      <c r="P17" s="19">
        <f t="shared" si="4"/>
        <v>0.99318009640639493</v>
      </c>
      <c r="Q17" s="23">
        <v>0.01</v>
      </c>
      <c r="R17" s="23">
        <f t="shared" si="5"/>
        <v>0.05</v>
      </c>
    </row>
    <row r="18" spans="4:18" x14ac:dyDescent="0.25">
      <c r="D18" s="19">
        <f t="shared" si="0"/>
        <v>78.053260273972612</v>
      </c>
      <c r="E18" s="23">
        <v>1.4999999999999999E-2</v>
      </c>
      <c r="F18" s="23">
        <f t="shared" si="1"/>
        <v>0.15999999999999998</v>
      </c>
      <c r="J18" s="19">
        <f t="shared" si="2"/>
        <v>8.6027397260273961E-2</v>
      </c>
      <c r="K18" s="23">
        <v>0.05</v>
      </c>
      <c r="L18" s="23">
        <f t="shared" si="3"/>
        <v>0.22499999999999998</v>
      </c>
      <c r="P18" s="19">
        <f t="shared" si="4"/>
        <v>0.99328733819325166</v>
      </c>
      <c r="Q18" s="23">
        <v>0.01</v>
      </c>
      <c r="R18" s="23">
        <f t="shared" si="5"/>
        <v>6.0000000000000005E-2</v>
      </c>
    </row>
    <row r="19" spans="4:18" x14ac:dyDescent="0.25">
      <c r="D19" s="19">
        <f t="shared" si="0"/>
        <v>78.320273972602749</v>
      </c>
      <c r="E19" s="23">
        <v>0.02</v>
      </c>
      <c r="F19" s="23">
        <f t="shared" si="1"/>
        <v>0.17999999999999997</v>
      </c>
      <c r="J19" s="19">
        <f t="shared" si="2"/>
        <v>8.7671232876712316E-2</v>
      </c>
      <c r="K19" s="23">
        <v>0</v>
      </c>
      <c r="L19" s="23">
        <f t="shared" si="3"/>
        <v>0.22499999999999998</v>
      </c>
      <c r="P19" s="19">
        <f t="shared" si="4"/>
        <v>0.99339457998010838</v>
      </c>
      <c r="Q19" s="23">
        <v>0.01</v>
      </c>
      <c r="R19" s="23">
        <f t="shared" si="5"/>
        <v>7.0000000000000007E-2</v>
      </c>
    </row>
    <row r="20" spans="4:18" x14ac:dyDescent="0.25">
      <c r="D20" s="19">
        <f t="shared" si="0"/>
        <v>78.587287671232886</v>
      </c>
      <c r="E20" s="23">
        <v>2.5000000000000001E-2</v>
      </c>
      <c r="F20" s="23">
        <f t="shared" si="1"/>
        <v>0.20499999999999996</v>
      </c>
      <c r="J20" s="19">
        <f t="shared" si="2"/>
        <v>8.9315068493150671E-2</v>
      </c>
      <c r="K20" s="23">
        <v>0.04</v>
      </c>
      <c r="L20" s="23">
        <f t="shared" si="3"/>
        <v>0.26499999999999996</v>
      </c>
      <c r="P20" s="19">
        <f t="shared" si="4"/>
        <v>0.99350182176696511</v>
      </c>
      <c r="Q20" s="23">
        <v>0.01</v>
      </c>
      <c r="R20" s="23">
        <f t="shared" si="5"/>
        <v>0.08</v>
      </c>
    </row>
    <row r="21" spans="4:18" x14ac:dyDescent="0.25">
      <c r="D21" s="19">
        <f t="shared" si="0"/>
        <v>78.854301369863023</v>
      </c>
      <c r="E21" s="23">
        <v>0.05</v>
      </c>
      <c r="F21" s="23">
        <f t="shared" si="1"/>
        <v>0.25499999999999995</v>
      </c>
      <c r="J21" s="19">
        <f t="shared" si="2"/>
        <v>9.0958904109589025E-2</v>
      </c>
      <c r="K21" s="23">
        <v>6.5000000000000002E-2</v>
      </c>
      <c r="L21" s="23">
        <f t="shared" si="3"/>
        <v>0.32999999999999996</v>
      </c>
      <c r="P21" s="19">
        <f t="shared" si="4"/>
        <v>0.99360906355382184</v>
      </c>
      <c r="Q21" s="23">
        <v>0.01</v>
      </c>
      <c r="R21" s="23">
        <f t="shared" si="5"/>
        <v>0.09</v>
      </c>
    </row>
    <row r="22" spans="4:18" x14ac:dyDescent="0.25">
      <c r="D22" s="19">
        <f t="shared" si="0"/>
        <v>79.121315068493161</v>
      </c>
      <c r="E22" s="23">
        <v>2.5000000000000001E-2</v>
      </c>
      <c r="F22" s="23">
        <f t="shared" si="1"/>
        <v>0.27999999999999997</v>
      </c>
      <c r="J22" s="19">
        <f t="shared" si="2"/>
        <v>9.260273972602738E-2</v>
      </c>
      <c r="K22" s="23">
        <v>0</v>
      </c>
      <c r="L22" s="23">
        <f t="shared" si="3"/>
        <v>0.32999999999999996</v>
      </c>
      <c r="P22" s="19">
        <f t="shared" si="4"/>
        <v>0.99371630534067856</v>
      </c>
      <c r="Q22" s="23">
        <v>0.03</v>
      </c>
      <c r="R22" s="23">
        <f t="shared" si="5"/>
        <v>0.12</v>
      </c>
    </row>
    <row r="23" spans="4:18" x14ac:dyDescent="0.25">
      <c r="D23" s="19">
        <f t="shared" si="0"/>
        <v>79.388328767123298</v>
      </c>
      <c r="E23" s="23">
        <v>2.5000000000000001E-2</v>
      </c>
      <c r="F23" s="23">
        <f t="shared" si="1"/>
        <v>0.30499999999999999</v>
      </c>
      <c r="J23" s="19">
        <f t="shared" si="2"/>
        <v>9.4246575342465735E-2</v>
      </c>
      <c r="K23" s="23">
        <v>7.0000000000000007E-2</v>
      </c>
      <c r="L23" s="23">
        <f t="shared" si="3"/>
        <v>0.39999999999999997</v>
      </c>
      <c r="P23" s="19">
        <f t="shared" si="4"/>
        <v>0.99382354712753529</v>
      </c>
      <c r="Q23" s="23">
        <v>5.5E-2</v>
      </c>
      <c r="R23" s="23">
        <f t="shared" si="5"/>
        <v>0.17499999999999999</v>
      </c>
    </row>
    <row r="24" spans="4:18" x14ac:dyDescent="0.25">
      <c r="D24" s="19">
        <f t="shared" si="0"/>
        <v>79.655342465753435</v>
      </c>
      <c r="E24" s="23">
        <v>2.5000000000000001E-2</v>
      </c>
      <c r="F24" s="23">
        <f t="shared" si="1"/>
        <v>0.33</v>
      </c>
      <c r="J24" s="19">
        <f t="shared" si="2"/>
        <v>9.589041095890409E-2</v>
      </c>
      <c r="K24" s="23">
        <v>0</v>
      </c>
      <c r="L24" s="23">
        <f t="shared" si="3"/>
        <v>0.39999999999999997</v>
      </c>
      <c r="P24" s="19">
        <f t="shared" si="4"/>
        <v>0.99393078891439202</v>
      </c>
      <c r="Q24" s="23">
        <v>0.02</v>
      </c>
      <c r="R24" s="23">
        <f t="shared" si="5"/>
        <v>0.19499999999999998</v>
      </c>
    </row>
    <row r="25" spans="4:18" x14ac:dyDescent="0.25">
      <c r="D25" s="19">
        <f t="shared" si="0"/>
        <v>79.922356164383572</v>
      </c>
      <c r="E25" s="23">
        <v>3.5000000000000003E-2</v>
      </c>
      <c r="F25" s="23">
        <f t="shared" si="1"/>
        <v>0.36499999999999999</v>
      </c>
      <c r="J25" s="19">
        <f t="shared" si="2"/>
        <v>9.7534246575342445E-2</v>
      </c>
      <c r="K25" s="23">
        <v>0.04</v>
      </c>
      <c r="L25" s="23">
        <f t="shared" si="3"/>
        <v>0.43999999999999995</v>
      </c>
      <c r="P25" s="19">
        <f t="shared" si="4"/>
        <v>0.99403803070124874</v>
      </c>
      <c r="Q25" s="23">
        <v>2.5000000000000001E-2</v>
      </c>
      <c r="R25" s="23">
        <f t="shared" si="5"/>
        <v>0.21999999999999997</v>
      </c>
    </row>
    <row r="26" spans="4:18" x14ac:dyDescent="0.25">
      <c r="D26" s="19">
        <f t="shared" si="0"/>
        <v>80.18936986301371</v>
      </c>
      <c r="E26" s="23">
        <v>0.03</v>
      </c>
      <c r="F26" s="23">
        <f t="shared" si="1"/>
        <v>0.39500000000000002</v>
      </c>
      <c r="J26" s="19">
        <f t="shared" si="2"/>
        <v>9.91780821917808E-2</v>
      </c>
      <c r="K26" s="23">
        <v>0.09</v>
      </c>
      <c r="L26" s="23">
        <f t="shared" si="3"/>
        <v>0.52999999999999992</v>
      </c>
      <c r="P26" s="19">
        <f t="shared" si="4"/>
        <v>0.99414527248810547</v>
      </c>
      <c r="Q26" s="23">
        <v>0.02</v>
      </c>
      <c r="R26" s="23">
        <f t="shared" si="5"/>
        <v>0.23999999999999996</v>
      </c>
    </row>
    <row r="27" spans="4:18" x14ac:dyDescent="0.25">
      <c r="D27" s="19">
        <f t="shared" si="0"/>
        <v>80.456383561643847</v>
      </c>
      <c r="E27" s="23">
        <v>0.03</v>
      </c>
      <c r="F27" s="23">
        <f t="shared" si="1"/>
        <v>0.42500000000000004</v>
      </c>
      <c r="J27" s="19">
        <f t="shared" si="2"/>
        <v>0.10082191780821916</v>
      </c>
      <c r="K27" s="23">
        <v>0</v>
      </c>
      <c r="L27" s="23">
        <f t="shared" si="3"/>
        <v>0.52999999999999992</v>
      </c>
      <c r="P27" s="19">
        <f t="shared" si="4"/>
        <v>0.9942525142749622</v>
      </c>
      <c r="Q27" s="23">
        <v>3.5000000000000003E-2</v>
      </c>
      <c r="R27" s="23">
        <f t="shared" si="5"/>
        <v>0.27499999999999997</v>
      </c>
    </row>
    <row r="28" spans="4:18" x14ac:dyDescent="0.25">
      <c r="D28" s="19">
        <f t="shared" si="0"/>
        <v>80.723397260273984</v>
      </c>
      <c r="E28" s="23">
        <v>0.04</v>
      </c>
      <c r="F28" s="23">
        <f t="shared" si="1"/>
        <v>0.46500000000000002</v>
      </c>
      <c r="J28" s="19">
        <f t="shared" si="2"/>
        <v>0.10246575342465751</v>
      </c>
      <c r="K28" s="23">
        <v>7.0000000000000007E-2</v>
      </c>
      <c r="L28" s="23">
        <f t="shared" si="3"/>
        <v>0.59999999999999987</v>
      </c>
      <c r="P28" s="19">
        <f t="shared" si="4"/>
        <v>0.99435975606181892</v>
      </c>
      <c r="Q28" s="23">
        <v>3.5000000000000003E-2</v>
      </c>
      <c r="R28" s="23">
        <f t="shared" si="5"/>
        <v>0.30999999999999994</v>
      </c>
    </row>
    <row r="29" spans="4:18" x14ac:dyDescent="0.25">
      <c r="D29" s="19">
        <f t="shared" si="0"/>
        <v>80.990410958904121</v>
      </c>
      <c r="E29" s="23">
        <v>0.06</v>
      </c>
      <c r="F29" s="23">
        <f t="shared" si="1"/>
        <v>0.52500000000000002</v>
      </c>
      <c r="J29" s="19">
        <f t="shared" si="2"/>
        <v>0.10410958904109587</v>
      </c>
      <c r="K29" s="23">
        <v>0</v>
      </c>
      <c r="L29" s="23">
        <f t="shared" si="3"/>
        <v>0.59999999999999987</v>
      </c>
      <c r="P29" s="19">
        <f t="shared" si="4"/>
        <v>0.99446699784867565</v>
      </c>
      <c r="Q29" s="23">
        <v>0.04</v>
      </c>
      <c r="R29" s="23">
        <f t="shared" si="5"/>
        <v>0.34999999999999992</v>
      </c>
    </row>
    <row r="30" spans="4:18" x14ac:dyDescent="0.25">
      <c r="D30" s="19">
        <f t="shared" si="0"/>
        <v>81.257424657534258</v>
      </c>
      <c r="E30" s="23">
        <v>3.5000000000000003E-2</v>
      </c>
      <c r="F30" s="23">
        <f t="shared" si="1"/>
        <v>0.56000000000000005</v>
      </c>
      <c r="J30" s="19">
        <f t="shared" si="2"/>
        <v>0.10575342465753422</v>
      </c>
      <c r="K30" s="23">
        <v>0.04</v>
      </c>
      <c r="L30" s="23">
        <f t="shared" si="3"/>
        <v>0.6399999999999999</v>
      </c>
      <c r="P30" s="19">
        <f t="shared" si="4"/>
        <v>0.99457423963553238</v>
      </c>
      <c r="Q30" s="23">
        <v>5.5E-2</v>
      </c>
      <c r="R30" s="23">
        <f t="shared" si="5"/>
        <v>0.40499999999999992</v>
      </c>
    </row>
    <row r="31" spans="4:18" x14ac:dyDescent="0.25">
      <c r="D31" s="19">
        <f t="shared" si="0"/>
        <v>81.524438356164396</v>
      </c>
      <c r="E31" s="23">
        <v>3.5000000000000003E-2</v>
      </c>
      <c r="F31" s="23">
        <f t="shared" si="1"/>
        <v>0.59500000000000008</v>
      </c>
      <c r="J31" s="19">
        <f t="shared" si="2"/>
        <v>0.10739726027397258</v>
      </c>
      <c r="K31" s="23">
        <v>6.5000000000000002E-2</v>
      </c>
      <c r="L31" s="23">
        <f t="shared" si="3"/>
        <v>0.70499999999999985</v>
      </c>
      <c r="P31" s="19">
        <f t="shared" si="4"/>
        <v>0.9946814814223891</v>
      </c>
      <c r="Q31" s="23">
        <v>2.5000000000000001E-2</v>
      </c>
      <c r="R31" s="23">
        <f t="shared" si="5"/>
        <v>0.42999999999999994</v>
      </c>
    </row>
    <row r="32" spans="4:18" x14ac:dyDescent="0.25">
      <c r="D32" s="19">
        <f t="shared" si="0"/>
        <v>81.791452054794533</v>
      </c>
      <c r="E32" s="23">
        <v>5.5E-2</v>
      </c>
      <c r="F32" s="23">
        <f t="shared" si="1"/>
        <v>0.65000000000000013</v>
      </c>
      <c r="J32" s="19">
        <f t="shared" si="2"/>
        <v>0.10904109589041093</v>
      </c>
      <c r="K32" s="23">
        <v>0</v>
      </c>
      <c r="L32" s="23">
        <f t="shared" si="3"/>
        <v>0.70499999999999985</v>
      </c>
      <c r="P32" s="19">
        <f t="shared" si="4"/>
        <v>0.99478872320924583</v>
      </c>
      <c r="Q32" s="23">
        <v>0.03</v>
      </c>
      <c r="R32" s="23">
        <f t="shared" si="5"/>
        <v>0.45999999999999996</v>
      </c>
    </row>
    <row r="33" spans="4:18" x14ac:dyDescent="0.25">
      <c r="D33" s="19">
        <f t="shared" si="0"/>
        <v>82.05846575342467</v>
      </c>
      <c r="E33" s="23">
        <v>2.5000000000000001E-2</v>
      </c>
      <c r="F33" s="23">
        <f t="shared" si="1"/>
        <v>0.67500000000000016</v>
      </c>
      <c r="J33" s="19">
        <f t="shared" si="2"/>
        <v>0.11068493150684929</v>
      </c>
      <c r="K33" s="23">
        <v>2.5000000000000001E-2</v>
      </c>
      <c r="L33" s="23">
        <f t="shared" si="3"/>
        <v>0.72999999999999987</v>
      </c>
      <c r="P33" s="19">
        <f t="shared" si="4"/>
        <v>0.99489596499610256</v>
      </c>
      <c r="Q33" s="23">
        <v>0.03</v>
      </c>
      <c r="R33" s="23">
        <f t="shared" si="5"/>
        <v>0.49</v>
      </c>
    </row>
    <row r="34" spans="4:18" x14ac:dyDescent="0.25">
      <c r="D34" s="19">
        <f t="shared" si="0"/>
        <v>82.325479452054807</v>
      </c>
      <c r="E34" s="23">
        <v>0.02</v>
      </c>
      <c r="F34" s="23">
        <f t="shared" si="1"/>
        <v>0.69500000000000017</v>
      </c>
      <c r="J34" s="19">
        <f t="shared" si="2"/>
        <v>0.11232876712328764</v>
      </c>
      <c r="K34" s="23">
        <v>0</v>
      </c>
      <c r="L34" s="23">
        <f t="shared" si="3"/>
        <v>0.72999999999999987</v>
      </c>
      <c r="P34" s="19">
        <f t="shared" si="4"/>
        <v>0.99500320678295928</v>
      </c>
      <c r="Q34" s="23">
        <v>0.05</v>
      </c>
      <c r="R34" s="23">
        <f t="shared" si="5"/>
        <v>0.54</v>
      </c>
    </row>
    <row r="35" spans="4:18" x14ac:dyDescent="0.25">
      <c r="D35" s="19">
        <f t="shared" si="0"/>
        <v>82.592493150684945</v>
      </c>
      <c r="E35" s="23">
        <v>0.04</v>
      </c>
      <c r="F35" s="23">
        <f t="shared" si="1"/>
        <v>0.73500000000000021</v>
      </c>
      <c r="J35" s="19">
        <f t="shared" si="2"/>
        <v>0.11397260273972599</v>
      </c>
      <c r="K35" s="23">
        <v>4.4999999999999998E-2</v>
      </c>
      <c r="L35" s="23">
        <f t="shared" si="3"/>
        <v>0.77499999999999991</v>
      </c>
      <c r="P35" s="19">
        <f t="shared" si="4"/>
        <v>0.99511044856981601</v>
      </c>
      <c r="Q35" s="23">
        <v>4.4999999999999998E-2</v>
      </c>
      <c r="R35" s="23">
        <f t="shared" si="5"/>
        <v>0.58500000000000008</v>
      </c>
    </row>
    <row r="36" spans="4:18" x14ac:dyDescent="0.25">
      <c r="D36" s="19">
        <f t="shared" si="0"/>
        <v>82.859506849315082</v>
      </c>
      <c r="E36" s="23">
        <v>2.5000000000000001E-2</v>
      </c>
      <c r="F36" s="23">
        <f t="shared" si="1"/>
        <v>0.76000000000000023</v>
      </c>
      <c r="J36" s="19">
        <f t="shared" si="2"/>
        <v>0.11561643835616435</v>
      </c>
      <c r="K36" s="23">
        <v>2.5000000000000001E-2</v>
      </c>
      <c r="L36" s="23">
        <f t="shared" si="3"/>
        <v>0.79999999999999993</v>
      </c>
      <c r="P36" s="19">
        <f t="shared" si="4"/>
        <v>0.99521769035667274</v>
      </c>
      <c r="Q36" s="23">
        <v>4.4999999999999998E-2</v>
      </c>
      <c r="R36" s="23">
        <f t="shared" si="5"/>
        <v>0.63000000000000012</v>
      </c>
    </row>
    <row r="37" spans="4:18" x14ac:dyDescent="0.25">
      <c r="D37" s="19">
        <f t="shared" si="0"/>
        <v>83.126520547945219</v>
      </c>
      <c r="E37" s="23">
        <v>0.04</v>
      </c>
      <c r="F37" s="23">
        <f t="shared" si="1"/>
        <v>0.80000000000000027</v>
      </c>
      <c r="J37" s="19">
        <f t="shared" si="2"/>
        <v>0.1172602739726027</v>
      </c>
      <c r="K37" s="23">
        <v>0</v>
      </c>
      <c r="L37" s="23">
        <f t="shared" si="3"/>
        <v>0.79999999999999993</v>
      </c>
      <c r="P37" s="19">
        <f t="shared" si="4"/>
        <v>0.99532493214352946</v>
      </c>
      <c r="Q37" s="23">
        <v>3.5000000000000003E-2</v>
      </c>
      <c r="R37" s="23">
        <f t="shared" si="5"/>
        <v>0.66500000000000015</v>
      </c>
    </row>
    <row r="38" spans="4:18" x14ac:dyDescent="0.25">
      <c r="D38" s="19">
        <f t="shared" si="0"/>
        <v>83.393534246575356</v>
      </c>
      <c r="E38" s="23">
        <v>0.02</v>
      </c>
      <c r="F38" s="23">
        <f t="shared" si="1"/>
        <v>0.82000000000000028</v>
      </c>
      <c r="J38" s="19">
        <f t="shared" si="2"/>
        <v>0.11890410958904106</v>
      </c>
      <c r="K38" s="23">
        <v>0.05</v>
      </c>
      <c r="L38" s="23">
        <f t="shared" si="3"/>
        <v>0.85</v>
      </c>
      <c r="P38" s="19">
        <f t="shared" si="4"/>
        <v>0.99543217393038619</v>
      </c>
      <c r="Q38" s="23">
        <v>3.5000000000000003E-2</v>
      </c>
      <c r="R38" s="23">
        <f t="shared" si="5"/>
        <v>0.70000000000000018</v>
      </c>
    </row>
    <row r="39" spans="4:18" x14ac:dyDescent="0.25">
      <c r="D39" s="19">
        <f t="shared" si="0"/>
        <v>83.660547945205494</v>
      </c>
      <c r="E39" s="23">
        <v>2.5000000000000001E-2</v>
      </c>
      <c r="F39" s="23">
        <f t="shared" si="1"/>
        <v>0.84500000000000031</v>
      </c>
      <c r="J39" s="19">
        <f t="shared" si="2"/>
        <v>0.12054794520547941</v>
      </c>
      <c r="K39" s="23">
        <v>0</v>
      </c>
      <c r="L39" s="23">
        <f t="shared" si="3"/>
        <v>0.85</v>
      </c>
      <c r="P39" s="19">
        <f t="shared" si="4"/>
        <v>0.99553941571724291</v>
      </c>
      <c r="Q39" s="23">
        <v>0.04</v>
      </c>
      <c r="R39" s="23">
        <f t="shared" si="5"/>
        <v>0.74000000000000021</v>
      </c>
    </row>
    <row r="40" spans="4:18" x14ac:dyDescent="0.25">
      <c r="D40" s="19">
        <f t="shared" si="0"/>
        <v>83.927561643835631</v>
      </c>
      <c r="E40" s="23">
        <v>2.5000000000000001E-2</v>
      </c>
      <c r="F40" s="23">
        <f t="shared" si="1"/>
        <v>0.87000000000000033</v>
      </c>
      <c r="J40" s="19">
        <f t="shared" si="2"/>
        <v>0.12219178082191777</v>
      </c>
      <c r="K40" s="23">
        <v>3.5000000000000003E-2</v>
      </c>
      <c r="L40" s="23">
        <f t="shared" si="3"/>
        <v>0.88500000000000001</v>
      </c>
      <c r="P40" s="19">
        <f t="shared" si="4"/>
        <v>0.99564665750409964</v>
      </c>
      <c r="Q40" s="23">
        <v>4.4999999999999998E-2</v>
      </c>
      <c r="R40" s="23">
        <f t="shared" si="5"/>
        <v>0.78500000000000025</v>
      </c>
    </row>
    <row r="41" spans="4:18" x14ac:dyDescent="0.25">
      <c r="D41" s="19">
        <f t="shared" si="0"/>
        <v>84.194575342465768</v>
      </c>
      <c r="E41" s="23">
        <v>5.0000000000000001E-3</v>
      </c>
      <c r="F41" s="23">
        <f t="shared" si="1"/>
        <v>0.87500000000000033</v>
      </c>
      <c r="J41" s="19">
        <f t="shared" si="2"/>
        <v>0.12383561643835612</v>
      </c>
      <c r="K41" s="23">
        <v>0.03</v>
      </c>
      <c r="L41" s="23">
        <f t="shared" si="3"/>
        <v>0.91500000000000004</v>
      </c>
      <c r="P41" s="19">
        <f t="shared" si="4"/>
        <v>0.99575389929095637</v>
      </c>
      <c r="Q41" s="23">
        <v>2.5000000000000001E-2</v>
      </c>
      <c r="R41" s="23">
        <f t="shared" si="5"/>
        <v>0.81000000000000028</v>
      </c>
    </row>
    <row r="42" spans="4:18" x14ac:dyDescent="0.25">
      <c r="D42" s="19">
        <f t="shared" si="0"/>
        <v>84.461589041095905</v>
      </c>
      <c r="E42" s="23">
        <v>0.02</v>
      </c>
      <c r="F42" s="23">
        <f t="shared" si="1"/>
        <v>0.89500000000000035</v>
      </c>
      <c r="J42" s="19">
        <f t="shared" si="2"/>
        <v>0.12547945205479449</v>
      </c>
      <c r="K42" s="23">
        <v>0</v>
      </c>
      <c r="L42" s="23">
        <f t="shared" si="3"/>
        <v>0.91500000000000004</v>
      </c>
      <c r="P42" s="19">
        <f t="shared" si="4"/>
        <v>0.99586114107781309</v>
      </c>
      <c r="Q42" s="23">
        <v>5.5E-2</v>
      </c>
      <c r="R42" s="23">
        <f t="shared" si="5"/>
        <v>0.86500000000000032</v>
      </c>
    </row>
    <row r="43" spans="4:18" x14ac:dyDescent="0.25">
      <c r="D43" s="19">
        <f t="shared" si="0"/>
        <v>84.728602739726043</v>
      </c>
      <c r="E43" s="23">
        <v>2.5000000000000001E-2</v>
      </c>
      <c r="F43" s="23">
        <f t="shared" si="1"/>
        <v>0.92000000000000037</v>
      </c>
      <c r="J43" s="19">
        <f t="shared" si="2"/>
        <v>0.12712328767123285</v>
      </c>
      <c r="K43" s="23">
        <v>3.5000000000000003E-2</v>
      </c>
      <c r="L43" s="23">
        <f t="shared" si="3"/>
        <v>0.95000000000000007</v>
      </c>
      <c r="P43" s="19">
        <f t="shared" si="4"/>
        <v>0.99596838286466982</v>
      </c>
      <c r="Q43" s="23">
        <v>2.5000000000000001E-2</v>
      </c>
      <c r="R43" s="23">
        <f t="shared" si="5"/>
        <v>0.89000000000000035</v>
      </c>
    </row>
    <row r="44" spans="4:18" x14ac:dyDescent="0.25">
      <c r="D44" s="19">
        <f t="shared" si="0"/>
        <v>84.99561643835618</v>
      </c>
      <c r="E44" s="23">
        <v>0.03</v>
      </c>
      <c r="F44" s="23">
        <f t="shared" si="1"/>
        <v>0.9500000000000004</v>
      </c>
      <c r="J44" s="19">
        <f t="shared" si="2"/>
        <v>0.1287671232876712</v>
      </c>
      <c r="K44" s="23">
        <v>0</v>
      </c>
      <c r="L44" s="23">
        <f t="shared" si="3"/>
        <v>0.95000000000000007</v>
      </c>
      <c r="P44" s="19">
        <f t="shared" si="4"/>
        <v>0.99607562465152655</v>
      </c>
      <c r="Q44" s="23">
        <v>0.02</v>
      </c>
      <c r="R44" s="23">
        <f t="shared" si="5"/>
        <v>0.91000000000000036</v>
      </c>
    </row>
    <row r="45" spans="4:18" x14ac:dyDescent="0.25">
      <c r="D45" s="19">
        <f t="shared" si="0"/>
        <v>85.262630136986317</v>
      </c>
      <c r="E45" s="23">
        <v>1.4999999999999999E-2</v>
      </c>
      <c r="F45" s="23">
        <f t="shared" si="1"/>
        <v>0.96500000000000041</v>
      </c>
      <c r="J45" s="19">
        <f t="shared" si="2"/>
        <v>0.13041095890410956</v>
      </c>
      <c r="K45" s="23">
        <v>1.4999999999999999E-2</v>
      </c>
      <c r="L45" s="23">
        <f t="shared" si="3"/>
        <v>0.96500000000000008</v>
      </c>
      <c r="P45" s="19">
        <f t="shared" si="4"/>
        <v>0.99618286643838327</v>
      </c>
      <c r="Q45" s="23">
        <v>1.4999999999999999E-2</v>
      </c>
      <c r="R45" s="23">
        <f t="shared" si="5"/>
        <v>0.92500000000000038</v>
      </c>
    </row>
    <row r="46" spans="4:18" x14ac:dyDescent="0.25">
      <c r="D46" s="19">
        <f t="shared" si="0"/>
        <v>85.529643835616454</v>
      </c>
      <c r="E46" s="23">
        <v>5.0000000000000001E-3</v>
      </c>
      <c r="F46" s="23">
        <f t="shared" si="1"/>
        <v>0.97000000000000042</v>
      </c>
      <c r="J46" s="19">
        <f t="shared" si="2"/>
        <v>0.13205479452054791</v>
      </c>
      <c r="K46" s="23">
        <v>1.4999999999999999E-2</v>
      </c>
      <c r="L46" s="23">
        <f t="shared" si="3"/>
        <v>0.98000000000000009</v>
      </c>
      <c r="P46" s="19">
        <f t="shared" si="4"/>
        <v>0.99629010822524</v>
      </c>
      <c r="Q46" s="23">
        <v>0</v>
      </c>
      <c r="R46" s="23">
        <f t="shared" si="5"/>
        <v>0.92500000000000038</v>
      </c>
    </row>
    <row r="47" spans="4:18" x14ac:dyDescent="0.25">
      <c r="D47" s="19">
        <f t="shared" si="0"/>
        <v>85.796657534246592</v>
      </c>
      <c r="E47" s="23">
        <v>5.0000000000000001E-3</v>
      </c>
      <c r="F47" s="23">
        <f t="shared" si="1"/>
        <v>0.97500000000000042</v>
      </c>
      <c r="J47" s="19">
        <f t="shared" si="2"/>
        <v>0.13369863013698627</v>
      </c>
      <c r="K47" s="23">
        <v>0</v>
      </c>
      <c r="L47" s="23">
        <f t="shared" si="3"/>
        <v>0.98000000000000009</v>
      </c>
      <c r="P47" s="19">
        <f t="shared" si="4"/>
        <v>0.99639735001209673</v>
      </c>
      <c r="Q47" s="23">
        <v>1.4999999999999999E-2</v>
      </c>
      <c r="R47" s="23">
        <f t="shared" si="5"/>
        <v>0.94000000000000039</v>
      </c>
    </row>
    <row r="48" spans="4:18" x14ac:dyDescent="0.25">
      <c r="D48" s="19">
        <f t="shared" si="0"/>
        <v>86.063671232876729</v>
      </c>
      <c r="E48" s="23">
        <v>5.0000000000000001E-3</v>
      </c>
      <c r="F48" s="23">
        <f t="shared" si="1"/>
        <v>0.98000000000000043</v>
      </c>
      <c r="J48" s="19">
        <f t="shared" si="2"/>
        <v>0.13534246575342462</v>
      </c>
      <c r="K48" s="23">
        <v>0</v>
      </c>
      <c r="L48" s="23">
        <f t="shared" si="3"/>
        <v>0.98000000000000009</v>
      </c>
      <c r="P48" s="19">
        <f t="shared" si="4"/>
        <v>0.99650459179895345</v>
      </c>
      <c r="Q48" s="23">
        <v>0.01</v>
      </c>
      <c r="R48" s="23">
        <f t="shared" si="5"/>
        <v>0.9500000000000004</v>
      </c>
    </row>
    <row r="49" spans="4:18" x14ac:dyDescent="0.25">
      <c r="D49" s="19">
        <f t="shared" si="0"/>
        <v>86.330684931506866</v>
      </c>
      <c r="E49" s="23">
        <v>0</v>
      </c>
      <c r="F49" s="23">
        <f t="shared" si="1"/>
        <v>0.98000000000000043</v>
      </c>
      <c r="J49" s="19">
        <f t="shared" si="2"/>
        <v>0.13698630136986298</v>
      </c>
      <c r="K49" s="23">
        <v>0</v>
      </c>
      <c r="L49" s="23">
        <f t="shared" si="3"/>
        <v>0.98000000000000009</v>
      </c>
      <c r="P49" s="19">
        <f t="shared" si="4"/>
        <v>0.99661183358581018</v>
      </c>
      <c r="Q49" s="23">
        <v>0.02</v>
      </c>
      <c r="R49" s="23">
        <f t="shared" si="5"/>
        <v>0.97000000000000042</v>
      </c>
    </row>
    <row r="50" spans="4:18" x14ac:dyDescent="0.25">
      <c r="D50" s="19">
        <f t="shared" si="0"/>
        <v>86.597698630137003</v>
      </c>
      <c r="E50" s="23">
        <v>5.0000000000000001E-3</v>
      </c>
      <c r="F50" s="23">
        <f t="shared" si="1"/>
        <v>0.98500000000000043</v>
      </c>
      <c r="J50" s="19">
        <f t="shared" si="2"/>
        <v>0.13863013698630133</v>
      </c>
      <c r="K50" s="23">
        <v>0.01</v>
      </c>
      <c r="L50" s="23">
        <f t="shared" si="3"/>
        <v>0.9900000000000001</v>
      </c>
      <c r="P50" s="19">
        <f t="shared" si="4"/>
        <v>0.99671907537266691</v>
      </c>
      <c r="Q50" s="23">
        <v>1.4999999999999999E-2</v>
      </c>
      <c r="R50" s="23">
        <f t="shared" si="5"/>
        <v>0.98500000000000043</v>
      </c>
    </row>
    <row r="51" spans="4:18" x14ac:dyDescent="0.25">
      <c r="D51" s="19">
        <f t="shared" si="0"/>
        <v>86.864712328767141</v>
      </c>
      <c r="E51" s="23">
        <v>0</v>
      </c>
      <c r="F51" s="23">
        <f t="shared" si="1"/>
        <v>0.98500000000000043</v>
      </c>
      <c r="J51" s="19">
        <f t="shared" si="2"/>
        <v>0.14027397260273969</v>
      </c>
      <c r="K51" s="23">
        <v>0</v>
      </c>
      <c r="L51" s="23">
        <f t="shared" si="3"/>
        <v>0.9900000000000001</v>
      </c>
      <c r="P51" s="19">
        <f t="shared" si="4"/>
        <v>0.99682631715952363</v>
      </c>
      <c r="Q51" s="23">
        <v>5.0000000000000001E-3</v>
      </c>
      <c r="R51" s="23">
        <f t="shared" si="5"/>
        <v>0.99000000000000044</v>
      </c>
    </row>
    <row r="52" spans="4:18" x14ac:dyDescent="0.25">
      <c r="D52" s="19">
        <f t="shared" si="0"/>
        <v>87.131726027397278</v>
      </c>
      <c r="E52" s="23">
        <v>5.0000000000000001E-3</v>
      </c>
      <c r="F52" s="23">
        <f t="shared" si="1"/>
        <v>0.99000000000000044</v>
      </c>
      <c r="J52" s="19">
        <f t="shared" si="2"/>
        <v>0.14191780821917804</v>
      </c>
      <c r="K52" s="23">
        <v>0</v>
      </c>
      <c r="L52" s="23">
        <f t="shared" si="3"/>
        <v>0.9900000000000001</v>
      </c>
      <c r="P52" s="19">
        <f t="shared" si="4"/>
        <v>0.99693355894638036</v>
      </c>
      <c r="Q52" s="23">
        <v>0</v>
      </c>
      <c r="R52" s="23">
        <f t="shared" si="5"/>
        <v>0.99000000000000044</v>
      </c>
    </row>
    <row r="53" spans="4:18" x14ac:dyDescent="0.25">
      <c r="D53" s="19">
        <f t="shared" si="0"/>
        <v>87.398739726027415</v>
      </c>
      <c r="E53" s="23">
        <v>0</v>
      </c>
      <c r="F53" s="23">
        <f t="shared" si="1"/>
        <v>0.99000000000000044</v>
      </c>
      <c r="J53" s="19">
        <f t="shared" si="2"/>
        <v>0.1435616438356164</v>
      </c>
      <c r="K53" s="23">
        <v>5.0000000000000001E-3</v>
      </c>
      <c r="L53" s="23">
        <f t="shared" si="3"/>
        <v>0.99500000000000011</v>
      </c>
      <c r="P53" s="19">
        <f t="shared" si="4"/>
        <v>0.99704080073323709</v>
      </c>
      <c r="Q53" s="23">
        <v>5.0000000000000001E-3</v>
      </c>
      <c r="R53" s="23">
        <f t="shared" si="5"/>
        <v>0.99500000000000044</v>
      </c>
    </row>
    <row r="54" spans="4:18" x14ac:dyDescent="0.25">
      <c r="D54" s="30">
        <f>C4</f>
        <v>87.665753424657538</v>
      </c>
      <c r="E54" s="24">
        <v>0.01</v>
      </c>
      <c r="F54" s="24">
        <f t="shared" si="1"/>
        <v>1.0000000000000004</v>
      </c>
      <c r="J54" s="30">
        <f>I4</f>
        <v>0.14520547945205478</v>
      </c>
      <c r="K54" s="24">
        <v>5.0000000000000001E-3</v>
      </c>
      <c r="L54" s="24">
        <f t="shared" si="3"/>
        <v>1</v>
      </c>
      <c r="P54" s="30">
        <f>O4</f>
        <v>0.99714804252009337</v>
      </c>
      <c r="Q54" s="24">
        <v>5.0000000000000001E-3</v>
      </c>
      <c r="R54" s="24">
        <f t="shared" si="5"/>
        <v>1.0000000000000004</v>
      </c>
    </row>
    <row r="55" spans="4:18" x14ac:dyDescent="0.25">
      <c r="D55" s="18"/>
      <c r="E55" s="18"/>
      <c r="F55" s="18"/>
      <c r="J55" s="18"/>
      <c r="K55" s="18"/>
      <c r="L55" s="18"/>
      <c r="P55" s="18"/>
      <c r="Q55" s="18"/>
      <c r="R55" s="18"/>
    </row>
    <row r="56" spans="4:18" x14ac:dyDescent="0.25">
      <c r="D56" s="20"/>
      <c r="E56" s="20"/>
      <c r="F56" s="20"/>
      <c r="J56" s="20"/>
      <c r="K56" s="20"/>
      <c r="L56" s="20"/>
      <c r="P56" s="20"/>
      <c r="Q56" s="20"/>
      <c r="R56" s="20"/>
    </row>
    <row r="57" spans="4:18" x14ac:dyDescent="0.25">
      <c r="D57" s="20"/>
      <c r="E57" s="20"/>
      <c r="F57" s="20"/>
      <c r="J57" s="20"/>
      <c r="K57" s="20"/>
      <c r="L57" s="20"/>
      <c r="P57" s="20"/>
      <c r="Q57" s="20"/>
      <c r="R57" s="20"/>
    </row>
    <row r="58" spans="4:18" x14ac:dyDescent="0.25">
      <c r="D58" s="20"/>
      <c r="E58" s="20"/>
      <c r="F58" s="20"/>
      <c r="J58" s="20"/>
      <c r="K58" s="20"/>
      <c r="L58" s="20"/>
      <c r="P58" s="20"/>
      <c r="Q58" s="20"/>
      <c r="R58" s="20"/>
    </row>
    <row r="59" spans="4:18" x14ac:dyDescent="0.25">
      <c r="D59" s="20"/>
      <c r="E59" s="20"/>
      <c r="F59" s="20"/>
      <c r="J59" s="20"/>
      <c r="K59" s="20"/>
      <c r="L59" s="20"/>
      <c r="P59" s="20"/>
      <c r="Q59" s="20"/>
      <c r="R59" s="20"/>
    </row>
    <row r="60" spans="4:18" x14ac:dyDescent="0.25">
      <c r="D60" s="20"/>
      <c r="E60" s="20"/>
      <c r="F60" s="20"/>
      <c r="J60" s="20"/>
      <c r="K60" s="20"/>
      <c r="L60" s="20"/>
      <c r="P60" s="20"/>
      <c r="Q60" s="20"/>
      <c r="R60" s="20"/>
    </row>
    <row r="61" spans="4:18" x14ac:dyDescent="0.25">
      <c r="D61" s="20"/>
      <c r="E61" s="20"/>
      <c r="F61" s="20"/>
      <c r="J61" s="20"/>
      <c r="K61" s="20"/>
      <c r="L61" s="20"/>
      <c r="P61" s="20"/>
      <c r="Q61" s="20"/>
      <c r="R61" s="20"/>
    </row>
    <row r="62" spans="4:18" x14ac:dyDescent="0.25">
      <c r="D62" s="20"/>
      <c r="E62" s="20"/>
      <c r="F62" s="20"/>
      <c r="J62" s="20"/>
      <c r="K62" s="20"/>
      <c r="L62" s="20"/>
      <c r="P62" s="20"/>
      <c r="Q62" s="20"/>
      <c r="R62" s="20"/>
    </row>
    <row r="63" spans="4:18" x14ac:dyDescent="0.25">
      <c r="D63" s="20"/>
      <c r="E63" s="20"/>
      <c r="F63" s="20"/>
      <c r="J63" s="20"/>
      <c r="K63" s="20"/>
      <c r="L63" s="20"/>
      <c r="P63" s="20"/>
      <c r="Q63" s="20"/>
      <c r="R63" s="20"/>
    </row>
    <row r="64" spans="4:18" x14ac:dyDescent="0.25">
      <c r="D64" s="20"/>
      <c r="E64" s="20"/>
      <c r="F64" s="20"/>
      <c r="J64" s="20"/>
      <c r="K64" s="20"/>
      <c r="L64" s="20"/>
      <c r="P64" s="20"/>
      <c r="Q64" s="20"/>
      <c r="R64" s="20"/>
    </row>
    <row r="65" spans="4:18" x14ac:dyDescent="0.25">
      <c r="D65" s="20"/>
      <c r="E65" s="20"/>
      <c r="F65" s="20"/>
      <c r="J65" s="20"/>
      <c r="K65" s="20"/>
      <c r="L65" s="20"/>
      <c r="P65" s="20"/>
      <c r="Q65" s="20"/>
      <c r="R65" s="20"/>
    </row>
    <row r="66" spans="4:18" x14ac:dyDescent="0.25">
      <c r="D66" s="20"/>
      <c r="E66" s="20"/>
      <c r="F66" s="20"/>
      <c r="J66" s="20"/>
      <c r="K66" s="20"/>
      <c r="L66" s="20"/>
      <c r="P66" s="20"/>
      <c r="Q66" s="20"/>
      <c r="R66" s="20"/>
    </row>
    <row r="67" spans="4:18" x14ac:dyDescent="0.25">
      <c r="D67" s="7"/>
      <c r="E67" s="7"/>
      <c r="F67" s="7"/>
      <c r="J67" s="7"/>
      <c r="K67" s="7"/>
      <c r="L67" s="7"/>
      <c r="P67" s="7"/>
      <c r="Q67" s="7"/>
      <c r="R67" s="7"/>
    </row>
    <row r="68" spans="4:18" x14ac:dyDescent="0.25">
      <c r="D68" s="7"/>
      <c r="E68" s="7"/>
      <c r="F68" s="7"/>
      <c r="J68" s="7"/>
      <c r="K68" s="7"/>
      <c r="L68" s="7"/>
      <c r="P68" s="7"/>
      <c r="Q68" s="7"/>
      <c r="R68" s="7"/>
    </row>
    <row r="69" spans="4:18" x14ac:dyDescent="0.25">
      <c r="D69" s="7"/>
      <c r="E69" s="7"/>
      <c r="F69" s="7"/>
      <c r="J69" s="7"/>
      <c r="K69" s="7"/>
      <c r="L69" s="7"/>
      <c r="P69" s="7"/>
      <c r="Q69" s="7"/>
      <c r="R69" s="7"/>
    </row>
    <row r="70" spans="4:18" x14ac:dyDescent="0.25">
      <c r="D70" s="7"/>
      <c r="E70" s="7"/>
      <c r="F70" s="7"/>
      <c r="J70" s="7"/>
      <c r="K70" s="7"/>
      <c r="L70" s="7"/>
      <c r="P70" s="7"/>
      <c r="Q70" s="7"/>
      <c r="R70" s="7"/>
    </row>
    <row r="71" spans="4:18" x14ac:dyDescent="0.25">
      <c r="D71" s="7"/>
      <c r="E71" s="7"/>
      <c r="F71" s="7"/>
      <c r="J71" s="7"/>
      <c r="K71" s="7"/>
      <c r="L71" s="7"/>
      <c r="P71" s="7"/>
      <c r="Q71" s="7"/>
      <c r="R71" s="7"/>
    </row>
    <row r="72" spans="4:18" x14ac:dyDescent="0.25">
      <c r="D72" s="7"/>
      <c r="E72" s="7"/>
      <c r="F72" s="7"/>
      <c r="J72" s="7"/>
      <c r="K72" s="7"/>
      <c r="L72" s="7"/>
      <c r="P72" s="7"/>
      <c r="Q72" s="7"/>
      <c r="R72" s="7"/>
    </row>
    <row r="73" spans="4:18" x14ac:dyDescent="0.25">
      <c r="D73" s="7"/>
      <c r="E73" s="7"/>
      <c r="F73" s="7"/>
      <c r="J73" s="7"/>
      <c r="K73" s="7"/>
      <c r="L73" s="7"/>
      <c r="P73" s="7"/>
      <c r="Q73" s="7"/>
      <c r="R73" s="7"/>
    </row>
    <row r="74" spans="4:18" x14ac:dyDescent="0.25">
      <c r="D74" s="7"/>
      <c r="E74" s="7"/>
      <c r="F74" s="7"/>
      <c r="J74" s="7"/>
      <c r="K74" s="7"/>
      <c r="L74" s="7"/>
      <c r="P74" s="7"/>
      <c r="Q74" s="7"/>
      <c r="R74" s="7"/>
    </row>
    <row r="75" spans="4:18" x14ac:dyDescent="0.25">
      <c r="D75" s="7"/>
      <c r="E75" s="7"/>
      <c r="F75" s="7"/>
      <c r="J75" s="7"/>
      <c r="K75" s="7"/>
      <c r="L75" s="7"/>
      <c r="P75" s="7"/>
      <c r="Q75" s="7"/>
      <c r="R75" s="7"/>
    </row>
    <row r="76" spans="4:18" x14ac:dyDescent="0.25">
      <c r="D76" s="7"/>
      <c r="E76" s="7"/>
      <c r="F76" s="7"/>
      <c r="J76" s="7"/>
      <c r="K76" s="7"/>
      <c r="L76" s="7"/>
      <c r="P76" s="7"/>
      <c r="Q76" s="7"/>
      <c r="R76" s="7"/>
    </row>
    <row r="77" spans="4:18" x14ac:dyDescent="0.25">
      <c r="D77" s="7"/>
      <c r="E77" s="7"/>
      <c r="F77" s="7"/>
      <c r="J77" s="7"/>
      <c r="K77" s="7"/>
      <c r="L77" s="7"/>
      <c r="P77" s="7"/>
      <c r="Q77" s="7"/>
      <c r="R77" s="7"/>
    </row>
    <row r="78" spans="4:18" x14ac:dyDescent="0.25">
      <c r="D78" s="7"/>
      <c r="E78" s="7"/>
      <c r="F78" s="7"/>
      <c r="J78" s="7"/>
      <c r="K78" s="7"/>
      <c r="L78" s="7"/>
      <c r="P78" s="7"/>
      <c r="Q78" s="7"/>
      <c r="R78" s="7"/>
    </row>
    <row r="79" spans="4:18" x14ac:dyDescent="0.25">
      <c r="D79" s="7"/>
      <c r="E79" s="7"/>
      <c r="F79" s="7"/>
      <c r="J79" s="7"/>
      <c r="K79" s="7"/>
      <c r="L79" s="7"/>
      <c r="P79" s="7"/>
      <c r="Q79" s="7"/>
      <c r="R79" s="7"/>
    </row>
    <row r="80" spans="4:18" x14ac:dyDescent="0.25">
      <c r="D80" s="7"/>
      <c r="E80" s="7"/>
      <c r="F80" s="7"/>
      <c r="J80" s="7"/>
      <c r="K80" s="7"/>
      <c r="L80" s="7"/>
      <c r="P80" s="7"/>
      <c r="Q80" s="7"/>
      <c r="R80" s="7"/>
    </row>
    <row r="81" spans="4:18" x14ac:dyDescent="0.25">
      <c r="D81" s="7"/>
      <c r="E81" s="7"/>
      <c r="F81" s="7"/>
      <c r="J81" s="7"/>
      <c r="K81" s="7"/>
      <c r="L81" s="7"/>
      <c r="P81" s="7"/>
      <c r="Q81" s="7"/>
      <c r="R81" s="7"/>
    </row>
    <row r="82" spans="4:18" x14ac:dyDescent="0.25">
      <c r="D82" s="7"/>
      <c r="E82" s="7"/>
      <c r="F82" s="7"/>
      <c r="J82" s="7"/>
      <c r="K82" s="7"/>
      <c r="L82" s="7"/>
      <c r="P82" s="7"/>
      <c r="Q82" s="7"/>
      <c r="R82" s="7"/>
    </row>
    <row r="83" spans="4:18" x14ac:dyDescent="0.25">
      <c r="D83" s="7"/>
      <c r="E83" s="7"/>
      <c r="F83" s="7"/>
      <c r="J83" s="7"/>
      <c r="K83" s="7"/>
      <c r="L83" s="7"/>
      <c r="P83" s="7"/>
      <c r="Q83" s="7"/>
      <c r="R83" s="7"/>
    </row>
    <row r="84" spans="4:18" x14ac:dyDescent="0.25">
      <c r="D84" s="7"/>
      <c r="E84" s="7"/>
      <c r="F84" s="7"/>
      <c r="J84" s="7"/>
      <c r="K84" s="7"/>
      <c r="L84" s="7"/>
      <c r="P84" s="7"/>
      <c r="Q84" s="7"/>
      <c r="R84" s="7"/>
    </row>
    <row r="85" spans="4:18" x14ac:dyDescent="0.25">
      <c r="D85" s="7"/>
      <c r="E85" s="7"/>
      <c r="F85" s="7"/>
      <c r="J85" s="7"/>
      <c r="K85" s="7"/>
      <c r="L85" s="7"/>
      <c r="P85" s="7"/>
      <c r="Q85" s="7"/>
      <c r="R85" s="7"/>
    </row>
    <row r="86" spans="4:18" x14ac:dyDescent="0.25">
      <c r="D86" s="7"/>
      <c r="E86" s="7"/>
      <c r="F86" s="7"/>
      <c r="J86" s="7"/>
      <c r="K86" s="7"/>
      <c r="L86" s="7"/>
      <c r="P86" s="7"/>
      <c r="Q86" s="7"/>
      <c r="R86" s="7"/>
    </row>
    <row r="87" spans="4:18" x14ac:dyDescent="0.25">
      <c r="D87" s="7"/>
      <c r="E87" s="7"/>
      <c r="F87" s="7"/>
      <c r="J87" s="7"/>
      <c r="K87" s="7"/>
      <c r="L87" s="7"/>
      <c r="P87" s="7"/>
      <c r="Q87" s="7"/>
      <c r="R87" s="7"/>
    </row>
    <row r="88" spans="4:18" x14ac:dyDescent="0.25">
      <c r="D88" s="7"/>
      <c r="E88" s="7"/>
      <c r="F88" s="7"/>
      <c r="J88" s="7"/>
      <c r="K88" s="7"/>
      <c r="L88" s="7"/>
      <c r="P88" s="7"/>
      <c r="Q88" s="7"/>
      <c r="R88" s="7"/>
    </row>
    <row r="89" spans="4:18" x14ac:dyDescent="0.25">
      <c r="D89" s="7"/>
      <c r="E89" s="7"/>
      <c r="F89" s="7"/>
      <c r="J89" s="7"/>
      <c r="K89" s="7"/>
      <c r="L89" s="7"/>
      <c r="P89" s="7"/>
      <c r="Q89" s="7"/>
      <c r="R89" s="7"/>
    </row>
    <row r="90" spans="4:18" x14ac:dyDescent="0.25">
      <c r="D90" s="7"/>
      <c r="E90" s="7"/>
      <c r="F90" s="7"/>
      <c r="J90" s="7"/>
      <c r="K90" s="7"/>
      <c r="L90" s="7"/>
      <c r="P90" s="7"/>
      <c r="Q90" s="7"/>
      <c r="R90" s="7"/>
    </row>
    <row r="91" spans="4:18" x14ac:dyDescent="0.25">
      <c r="D91" s="7"/>
      <c r="E91" s="7"/>
      <c r="F91" s="7"/>
      <c r="J91" s="7"/>
      <c r="K91" s="7"/>
      <c r="L91" s="7"/>
      <c r="P91" s="7"/>
      <c r="Q91" s="7"/>
      <c r="R91" s="7"/>
    </row>
    <row r="92" spans="4:18" x14ac:dyDescent="0.25">
      <c r="D92" s="7"/>
      <c r="E92" s="7"/>
      <c r="F92" s="7"/>
      <c r="J92" s="7"/>
      <c r="K92" s="7"/>
      <c r="L92" s="7"/>
      <c r="P92" s="7"/>
      <c r="Q92" s="7"/>
      <c r="R92" s="7"/>
    </row>
    <row r="93" spans="4:18" x14ac:dyDescent="0.25">
      <c r="D93" s="7"/>
      <c r="E93" s="7"/>
      <c r="F93" s="7"/>
      <c r="J93" s="7"/>
      <c r="K93" s="7"/>
      <c r="L93" s="7"/>
      <c r="P93" s="7"/>
      <c r="Q93" s="7"/>
      <c r="R93" s="7"/>
    </row>
    <row r="94" spans="4:18" x14ac:dyDescent="0.25">
      <c r="D94" s="7"/>
      <c r="E94" s="7"/>
      <c r="F94" s="7"/>
      <c r="J94" s="7"/>
      <c r="K94" s="7"/>
      <c r="L94" s="7"/>
      <c r="P94" s="7"/>
      <c r="Q94" s="7"/>
      <c r="R94" s="7"/>
    </row>
    <row r="95" spans="4:18" x14ac:dyDescent="0.25">
      <c r="D95" s="7"/>
      <c r="E95" s="7"/>
      <c r="F95" s="7"/>
      <c r="J95" s="7"/>
      <c r="K95" s="7"/>
      <c r="L95" s="7"/>
      <c r="P95" s="7"/>
      <c r="Q95" s="7"/>
      <c r="R95" s="7"/>
    </row>
    <row r="96" spans="4:18" x14ac:dyDescent="0.25">
      <c r="D96" s="7"/>
      <c r="E96" s="7"/>
      <c r="F96" s="7"/>
      <c r="J96" s="7"/>
      <c r="K96" s="7"/>
      <c r="L96" s="7"/>
      <c r="P96" s="7"/>
      <c r="Q96" s="7"/>
      <c r="R96" s="7"/>
    </row>
    <row r="97" spans="4:18" x14ac:dyDescent="0.25">
      <c r="D97" s="7"/>
      <c r="E97" s="7"/>
      <c r="F97" s="7"/>
      <c r="J97" s="7"/>
      <c r="K97" s="7"/>
      <c r="L97" s="7"/>
      <c r="P97" s="7"/>
      <c r="Q97" s="7"/>
      <c r="R97" s="7"/>
    </row>
    <row r="98" spans="4:18" x14ac:dyDescent="0.25">
      <c r="D98" s="7"/>
      <c r="E98" s="7"/>
      <c r="F98" s="7"/>
      <c r="J98" s="7"/>
      <c r="K98" s="7"/>
      <c r="L98" s="7"/>
      <c r="P98" s="7"/>
      <c r="Q98" s="7"/>
      <c r="R98" s="7"/>
    </row>
    <row r="99" spans="4:18" x14ac:dyDescent="0.25">
      <c r="D99" s="7"/>
      <c r="E99" s="7"/>
      <c r="F99" s="7"/>
      <c r="J99" s="7"/>
      <c r="K99" s="7"/>
      <c r="L99" s="7"/>
      <c r="P99" s="7"/>
      <c r="Q99" s="7"/>
      <c r="R99" s="7"/>
    </row>
    <row r="100" spans="4:18" x14ac:dyDescent="0.25">
      <c r="D100" s="7"/>
      <c r="E100" s="7"/>
      <c r="F100" s="7"/>
      <c r="J100" s="7"/>
      <c r="K100" s="7"/>
      <c r="L100" s="7"/>
      <c r="P100" s="7"/>
      <c r="Q100" s="7"/>
      <c r="R100" s="7"/>
    </row>
    <row r="101" spans="4:18" x14ac:dyDescent="0.25">
      <c r="D101" s="7"/>
      <c r="E101" s="7"/>
      <c r="F101" s="7"/>
      <c r="J101" s="7"/>
      <c r="K101" s="7"/>
      <c r="L101" s="7"/>
      <c r="P101" s="7"/>
      <c r="Q101" s="7"/>
      <c r="R101" s="7"/>
    </row>
    <row r="102" spans="4:18" x14ac:dyDescent="0.25">
      <c r="D102" s="7"/>
      <c r="E102" s="7"/>
      <c r="F102" s="7"/>
      <c r="J102" s="7"/>
      <c r="K102" s="7"/>
      <c r="L102" s="7"/>
      <c r="P102" s="7"/>
      <c r="Q102" s="7"/>
      <c r="R102" s="7"/>
    </row>
    <row r="103" spans="4:18" x14ac:dyDescent="0.25">
      <c r="D103" s="7"/>
      <c r="E103" s="7"/>
      <c r="F103" s="7"/>
      <c r="J103" s="7"/>
      <c r="K103" s="7"/>
      <c r="L103" s="7"/>
      <c r="P103" s="7"/>
      <c r="Q103" s="7"/>
      <c r="R103" s="7"/>
    </row>
    <row r="104" spans="4:18" x14ac:dyDescent="0.25">
      <c r="D104" s="7"/>
      <c r="E104" s="7"/>
      <c r="F104" s="7"/>
      <c r="J104" s="7"/>
      <c r="K104" s="7"/>
      <c r="L104" s="7"/>
      <c r="P104" s="7"/>
      <c r="Q104" s="7"/>
      <c r="R104" s="7"/>
    </row>
    <row r="105" spans="4:18" x14ac:dyDescent="0.25">
      <c r="D105" s="7"/>
      <c r="E105" s="7"/>
      <c r="F105" s="7"/>
      <c r="J105" s="7"/>
      <c r="K105" s="7"/>
      <c r="L105" s="7"/>
      <c r="P105" s="7"/>
      <c r="Q105" s="7"/>
      <c r="R105" s="7"/>
    </row>
    <row r="106" spans="4:18" x14ac:dyDescent="0.25">
      <c r="D106" s="7"/>
      <c r="E106" s="7"/>
      <c r="F106" s="7"/>
      <c r="J106" s="7"/>
      <c r="K106" s="7"/>
      <c r="L106" s="7"/>
      <c r="P106" s="7"/>
      <c r="Q106" s="7"/>
      <c r="R106" s="7"/>
    </row>
    <row r="107" spans="4:18" x14ac:dyDescent="0.25">
      <c r="D107" s="7"/>
      <c r="E107" s="7"/>
      <c r="F107" s="7"/>
      <c r="J107" s="7"/>
      <c r="K107" s="7"/>
      <c r="L107" s="7"/>
      <c r="P107" s="7"/>
      <c r="Q107" s="7"/>
      <c r="R107" s="7"/>
    </row>
    <row r="108" spans="4:18" x14ac:dyDescent="0.25">
      <c r="D108" s="7"/>
      <c r="E108" s="7"/>
      <c r="F108" s="7"/>
      <c r="J108" s="7"/>
      <c r="K108" s="7"/>
      <c r="L108" s="7"/>
      <c r="P108" s="7"/>
      <c r="Q108" s="7"/>
      <c r="R108" s="7"/>
    </row>
    <row r="109" spans="4:18" x14ac:dyDescent="0.25">
      <c r="D109" s="7"/>
      <c r="E109" s="7"/>
      <c r="F109" s="7"/>
      <c r="J109" s="7"/>
      <c r="K109" s="7"/>
      <c r="L109" s="7"/>
      <c r="P109" s="7"/>
      <c r="Q109" s="7"/>
      <c r="R109" s="7"/>
    </row>
    <row r="110" spans="4:18" x14ac:dyDescent="0.25">
      <c r="D110" s="7"/>
      <c r="E110" s="7"/>
      <c r="F110" s="7"/>
      <c r="J110" s="7"/>
      <c r="K110" s="7"/>
      <c r="L110" s="7"/>
      <c r="P110" s="7"/>
      <c r="Q110" s="7"/>
      <c r="R110" s="7"/>
    </row>
    <row r="111" spans="4:18" x14ac:dyDescent="0.25">
      <c r="D111" s="7"/>
      <c r="E111" s="7"/>
      <c r="F111" s="7"/>
      <c r="J111" s="7"/>
      <c r="K111" s="7"/>
      <c r="L111" s="7"/>
      <c r="P111" s="7"/>
      <c r="Q111" s="7"/>
      <c r="R111" s="7"/>
    </row>
    <row r="112" spans="4:18" x14ac:dyDescent="0.25">
      <c r="D112" s="7"/>
      <c r="E112" s="7"/>
      <c r="F112" s="7"/>
      <c r="J112" s="7"/>
      <c r="K112" s="7"/>
      <c r="L112" s="7"/>
      <c r="P112" s="7"/>
      <c r="Q112" s="7"/>
      <c r="R112" s="7"/>
    </row>
    <row r="113" spans="4:18" x14ac:dyDescent="0.25">
      <c r="D113" s="7"/>
      <c r="E113" s="7"/>
      <c r="F113" s="7"/>
      <c r="J113" s="7"/>
      <c r="K113" s="7"/>
      <c r="L113" s="7"/>
      <c r="P113" s="7"/>
      <c r="Q113" s="7"/>
      <c r="R113" s="7"/>
    </row>
    <row r="114" spans="4:18" x14ac:dyDescent="0.25">
      <c r="D114" s="7"/>
      <c r="E114" s="7"/>
      <c r="F114" s="7"/>
      <c r="J114" s="7"/>
      <c r="K114" s="7"/>
      <c r="L114" s="7"/>
      <c r="P114" s="7"/>
      <c r="Q114" s="7"/>
      <c r="R114" s="7"/>
    </row>
    <row r="115" spans="4:18" x14ac:dyDescent="0.25">
      <c r="D115" s="7"/>
      <c r="E115" s="7"/>
      <c r="F115" s="7"/>
      <c r="J115" s="7"/>
      <c r="K115" s="7"/>
      <c r="L115" s="7"/>
      <c r="P115" s="7"/>
      <c r="Q115" s="7"/>
      <c r="R115" s="7"/>
    </row>
    <row r="116" spans="4:18" x14ac:dyDescent="0.25">
      <c r="D116" s="7"/>
      <c r="E116" s="7"/>
      <c r="F116" s="7"/>
      <c r="J116" s="7"/>
      <c r="K116" s="7"/>
      <c r="L116" s="7"/>
      <c r="P116" s="7"/>
      <c r="Q116" s="7"/>
      <c r="R116" s="7"/>
    </row>
    <row r="117" spans="4:18" x14ac:dyDescent="0.25">
      <c r="D117" s="7"/>
      <c r="E117" s="7"/>
      <c r="F117" s="7"/>
      <c r="J117" s="7"/>
      <c r="K117" s="7"/>
      <c r="L117" s="7"/>
      <c r="P117" s="7"/>
      <c r="Q117" s="7"/>
      <c r="R117" s="7"/>
    </row>
    <row r="118" spans="4:18" x14ac:dyDescent="0.25">
      <c r="D118" s="7"/>
      <c r="E118" s="7"/>
      <c r="F118" s="7"/>
      <c r="J118" s="7"/>
      <c r="K118" s="7"/>
      <c r="L118" s="7"/>
      <c r="P118" s="7"/>
      <c r="Q118" s="7"/>
      <c r="R118" s="7"/>
    </row>
    <row r="119" spans="4:18" x14ac:dyDescent="0.25">
      <c r="D119" s="7"/>
      <c r="E119" s="7"/>
      <c r="F119" s="7"/>
      <c r="J119" s="7"/>
      <c r="K119" s="7"/>
      <c r="L119" s="7"/>
      <c r="P119" s="7"/>
      <c r="Q119" s="7"/>
      <c r="R119" s="7"/>
    </row>
    <row r="120" spans="4:18" x14ac:dyDescent="0.25">
      <c r="D120" s="7"/>
      <c r="E120" s="7"/>
      <c r="F120" s="7"/>
      <c r="J120" s="7"/>
      <c r="K120" s="7"/>
      <c r="L120" s="7"/>
      <c r="P120" s="7"/>
      <c r="Q120" s="7"/>
      <c r="R120" s="7"/>
    </row>
    <row r="121" spans="4:18" x14ac:dyDescent="0.25">
      <c r="D121" s="7"/>
      <c r="E121" s="7"/>
      <c r="F121" s="7"/>
      <c r="J121" s="7"/>
      <c r="K121" s="7"/>
      <c r="L121" s="7"/>
      <c r="P121" s="7"/>
      <c r="Q121" s="7"/>
      <c r="R121" s="7"/>
    </row>
    <row r="122" spans="4:18" x14ac:dyDescent="0.25">
      <c r="D122" s="7"/>
      <c r="E122" s="7"/>
      <c r="F122" s="7"/>
      <c r="J122" s="7"/>
      <c r="K122" s="7"/>
      <c r="L122" s="7"/>
      <c r="P122" s="7"/>
      <c r="Q122" s="7"/>
      <c r="R122" s="7"/>
    </row>
    <row r="123" spans="4:18" x14ac:dyDescent="0.25">
      <c r="D123" s="7"/>
      <c r="E123" s="7"/>
      <c r="F123" s="7"/>
      <c r="J123" s="7"/>
      <c r="K123" s="7"/>
      <c r="L123" s="7"/>
      <c r="P123" s="7"/>
      <c r="Q123" s="7"/>
      <c r="R123" s="7"/>
    </row>
    <row r="124" spans="4:18" x14ac:dyDescent="0.25">
      <c r="D124" s="7"/>
      <c r="E124" s="7"/>
      <c r="F124" s="7"/>
      <c r="J124" s="7"/>
      <c r="K124" s="7"/>
      <c r="L124" s="7"/>
      <c r="P124" s="7"/>
      <c r="Q124" s="7"/>
      <c r="R124" s="7"/>
    </row>
    <row r="125" spans="4:18" x14ac:dyDescent="0.25">
      <c r="D125" s="7"/>
      <c r="E125" s="7"/>
      <c r="F125" s="7"/>
      <c r="J125" s="7"/>
      <c r="K125" s="7"/>
      <c r="L125" s="7"/>
      <c r="P125" s="7"/>
      <c r="Q125" s="7"/>
      <c r="R125" s="7"/>
    </row>
    <row r="126" spans="4:18" x14ac:dyDescent="0.25">
      <c r="D126" s="7"/>
      <c r="E126" s="7"/>
      <c r="F126" s="7"/>
      <c r="J126" s="7"/>
      <c r="K126" s="7"/>
      <c r="L126" s="7"/>
      <c r="P126" s="7"/>
      <c r="Q126" s="7"/>
      <c r="R126" s="7"/>
    </row>
  </sheetData>
  <mergeCells count="3">
    <mergeCell ref="D2:F2"/>
    <mergeCell ref="J2:L2"/>
    <mergeCell ref="P2:R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Explanation</vt:lpstr>
      <vt:lpstr>Main</vt:lpstr>
      <vt:lpstr>Simulation</vt:lpstr>
      <vt:lpstr>Results</vt:lpstr>
      <vt:lpstr>BaseStock</vt:lpstr>
      <vt:lpstr>ClearResults</vt:lpstr>
      <vt:lpstr>DemandMax</vt:lpstr>
      <vt:lpstr>DemandMin</vt:lpstr>
      <vt:lpstr>HiddenCell</vt:lpstr>
      <vt:lpstr>NoStockoutProbability</vt:lpstr>
      <vt:lpstr>repNum</vt:lpstr>
      <vt:lpstr>repResultsFillRate</vt:lpstr>
      <vt:lpstr>repResultsInventory</vt:lpstr>
      <vt:lpstr>repResultsNoStockout</vt:lpstr>
      <vt:lpstr>SimulationResultsFillRate</vt:lpstr>
      <vt:lpstr>SimulationResultsInventory</vt:lpstr>
      <vt:lpstr>SimulationResultsNoStockout</vt:lpstr>
      <vt:lpstr>StartData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Wilck, Joe</cp:lastModifiedBy>
  <dcterms:created xsi:type="dcterms:W3CDTF">2011-03-09T14:22:03Z</dcterms:created>
  <dcterms:modified xsi:type="dcterms:W3CDTF">2018-10-01T16:35:46Z</dcterms:modified>
</cp:coreProperties>
</file>